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ottesavelberg/Library/CloudStorage/GoogleDrive-lotte@akvo.org/Shared drives/Akvo/04. Operations/Partners_projects/4. East Africa Projects/1. Projects &amp; Partners/1. Ongoing projects/Eswatini Drought Monitoring/2026/Work &amp; Activities/early action SOPs/"/>
    </mc:Choice>
  </mc:AlternateContent>
  <xr:revisionPtr revIDLastSave="0" documentId="8_{49D5C2E5-27CD-0246-B5E8-3E967EF771FE}" xr6:coauthVersionLast="47" xr6:coauthVersionMax="47" xr10:uidLastSave="{00000000-0000-0000-0000-000000000000}"/>
  <bookViews>
    <workbookView xWindow="0" yWindow="660" windowWidth="29400" windowHeight="16660" tabRatio="500" activeTab="1" xr2:uid="{00000000-000D-0000-FFFF-FFFF00000000}"/>
  </bookViews>
  <sheets>
    <sheet name="Overview" sheetId="1" r:id="rId1"/>
    <sheet name="RA Inventory" sheetId="2" r:id="rId2"/>
    <sheet name="Single RA Form" sheetId="3" r:id="rId3"/>
    <sheet name="Sector reference" sheetId="4" r:id="rId4"/>
    <sheet name="Trigger fields" sheetId="5" r:id="rId5"/>
    <sheet name="Status workflow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0" i="1"/>
  <c r="B31" i="1"/>
  <c r="B32" i="1"/>
  <c r="F26" i="5"/>
  <c r="F25" i="5"/>
  <c r="I24" i="1"/>
  <c r="G24" i="1"/>
  <c r="E24" i="1"/>
  <c r="C24" i="1"/>
  <c r="A24" i="1"/>
</calcChain>
</file>

<file path=xl/sharedStrings.xml><?xml version="1.0" encoding="utf-8"?>
<sst xmlns="http://schemas.openxmlformats.org/spreadsheetml/2006/main" count="444" uniqueCount="334">
  <si>
    <t>Eswatini Drought Intelligence Hub</t>
  </si>
  <si>
    <t>Purpose</t>
  </si>
  <si>
    <t>Who fills what</t>
  </si>
  <si>
    <t>NDRMA SOP lead</t>
  </si>
  <si>
    <t>Convenes the workshop, owns the Inventory sheet, manages versioning and the Status workflow.</t>
  </si>
  <si>
    <t>Authors SOPs for their sector. Owns trigger conditions and resource ask. Signs off the sector library.</t>
  </si>
  <si>
    <t>Akvo tech</t>
  </si>
  <si>
    <t>Translates approved rows into action templates in the Hub. Runs back-tests. Does not author triggers.</t>
  </si>
  <si>
    <t>UNESWA</t>
  </si>
  <si>
    <t>Reviews trigger conditions for statistical soundness. Validates back-test methodology.</t>
  </si>
  <si>
    <t>Inventory progress  (auto-calculated from SOP Inventory sheet)</t>
  </si>
  <si>
    <t>TOTAL SOPS</t>
  </si>
  <si>
    <t>ACTIVE</t>
  </si>
  <si>
    <t>APPROVED</t>
  </si>
  <si>
    <t>IN REVIEW</t>
  </si>
  <si>
    <t>DRAFT</t>
  </si>
  <si>
    <t>Sector</t>
  </si>
  <si>
    <t># of SOPs</t>
  </si>
  <si>
    <t>WASH</t>
  </si>
  <si>
    <t>How to use this workbook</t>
  </si>
  <si>
    <t>1</t>
  </si>
  <si>
    <t>2</t>
  </si>
  <si>
    <t>For each protocol, set Status = Draft, then progress through Review → Approved → Active. Archive when retired.</t>
  </si>
  <si>
    <t>3</t>
  </si>
  <si>
    <t>Use the dropdowns in Sector, Timing, Status, Geographic scope, D-class trigger to keep values consistent.</t>
  </si>
  <si>
    <t>4</t>
  </si>
  <si>
    <t>Trigger fields reference the Hub data model. See Trigger fields sheet for the full list of allowed identifiers.</t>
  </si>
  <si>
    <t>5</t>
  </si>
  <si>
    <t>For deep capture of a single SOP, print the Single SOP Form sheet — one printout per protocol. Useful in workshop breakouts.</t>
  </si>
  <si>
    <t>6</t>
  </si>
  <si>
    <t>Sign-off chain: sector lead → NDRMA → minister (for operational library v1.0). Capture each signature in the Approver column.</t>
  </si>
  <si>
    <t>Field values — where they come from</t>
  </si>
  <si>
    <t>The Trigger fields sheet lists the vocabulary; the actual per-Inkhundla values live in DIH-Risk-Dataset-Handover.xlsx. That workbook has one sheet per exposure sub-indicator (Land use / Population / Cattle / Water demand), one for IPC vulnerability, one for the current-cycle hazard, plus a Risk_expected sheet that computes the final risk score and class. Use it as the source of truth when authoring or reviewing trigger thresholds.</t>
  </si>
  <si>
    <t>SOP INVENTORY — one row per protocol</t>
  </si>
  <si>
    <t>Authoritative source for the Hub Actions layer. Each row becomes a candidate action card.</t>
  </si>
  <si>
    <t>IDENTITY</t>
  </si>
  <si>
    <t>SECTOR</t>
  </si>
  <si>
    <t>TRIGGER CONDITION</t>
  </si>
  <si>
    <t>OWNERSHIP &amp; RESOURCES</t>
  </si>
  <si>
    <t>CONTEXT</t>
  </si>
  <si>
    <t>STATUS &amp; SIGN-OFF</t>
  </si>
  <si>
    <t>Protocol ID</t>
  </si>
  <si>
    <t>Title</t>
  </si>
  <si>
    <t>Description</t>
  </si>
  <si>
    <t>Hazard trigger (D-class)</t>
  </si>
  <si>
    <t>Vulnerability trigger (IPC phase)</t>
  </si>
  <si>
    <t>Risk-class trigger</t>
  </si>
  <si>
    <t>Owner (role + org)</t>
  </si>
  <si>
    <t>Coordinating partners</t>
  </si>
  <si>
    <t>Resources required</t>
  </si>
  <si>
    <t>Timing tier</t>
  </si>
  <si>
    <t>Geographic scope</t>
  </si>
  <si>
    <t>Source document</t>
  </si>
  <si>
    <t>Version</t>
  </si>
  <si>
    <t>Last reviewed</t>
  </si>
  <si>
    <t>Status</t>
  </si>
  <si>
    <t>Approver (name + org)</t>
  </si>
  <si>
    <t>Approval date</t>
  </si>
  <si>
    <t>Notes</t>
  </si>
  <si>
    <t>SOP-WASH-3</t>
  </si>
  <si>
    <t>Borehole reinforcement &amp; monitoring</t>
  </si>
  <si>
    <t>Weekly yield checks on existing boreholes; pre-position water trucks at regional depot.</t>
  </si>
  <si>
    <t>D2+</t>
  </si>
  <si>
    <t>IPC ≥ 3</t>
  </si>
  <si>
    <t>pop ≥ 2,500</t>
  </si>
  <si>
    <t>High+</t>
  </si>
  <si>
    <t>DWA Hydrogeology Unit + Inkhundla Indvuna</t>
  </si>
  <si>
    <t>Eswatini Water Services · Red Cross</t>
  </si>
  <si>
    <t>2 trucks · 1 hydrogeologist · E120k</t>
  </si>
  <si>
    <t>NDRMA Drought Contingency Plan, §4.2</t>
  </si>
  <si>
    <t>v2024.1</t>
  </si>
  <si>
    <t>2024-09-01</t>
  </si>
  <si>
    <t>Active</t>
  </si>
  <si>
    <t>T. Mthethwa, NDRMA</t>
  </si>
  <si>
    <t>2024-09-15</t>
  </si>
  <si>
    <t>Pilot tested in Lavumisa, Big Bend, Siphofaneni 2023/24 season.</t>
  </si>
  <si>
    <t>SOP-WASH-1</t>
  </si>
  <si>
    <t>Water-trucking pre-positioning</t>
  </si>
  <si>
    <t>Stage emergency water trucks at the nearest regional depot; activate fuel allocation.</t>
  </si>
  <si>
    <t>D3+</t>
  </si>
  <si>
    <t>—</t>
  </si>
  <si>
    <t>Very High</t>
  </si>
  <si>
    <t>Eswatini Water Services + Red Cross</t>
  </si>
  <si>
    <t>NDRMA logistics</t>
  </si>
  <si>
    <t>3 trucks · 40k L tank · driver crews</t>
  </si>
  <si>
    <t>NDRMA Drought Contingency Plan, §4.5</t>
  </si>
  <si>
    <t>Fuel allocation requires Treasury concurrence.</t>
  </si>
  <si>
    <t>SOP-AG-2</t>
  </si>
  <si>
    <t>Livestock-offtake subsidy activation</t>
  </si>
  <si>
    <t>Open the destocking window; MoA buying station at community hall with transport coordination.</t>
  </si>
  <si>
    <t>cattle ≥ 1,500</t>
  </si>
  <si>
    <t>MoA Livestock Officer</t>
  </si>
  <si>
    <t>Red Cross transport · local auctioneers</t>
  </si>
  <si>
    <t>E480k budget · buying station · weighing kit</t>
  </si>
  <si>
    <t>MoA Drought Response Protocol, Annex C</t>
  </si>
  <si>
    <t>v2023.2</t>
  </si>
  <si>
    <t>2023-10-12</t>
  </si>
  <si>
    <t>2023-11-05</t>
  </si>
  <si>
    <t>Reviewed annually with Livestock Department.</t>
  </si>
  <si>
    <t>SOP-AG-4</t>
  </si>
  <si>
    <t>Seed distribution for next planting</t>
  </si>
  <si>
    <t>Distribute drought-tolerant seed packs (sorghum, millet) to rain-fed smallholder households.</t>
  </si>
  <si>
    <t>rainfed_cropland ≥ 1,500</t>
  </si>
  <si>
    <t>MoA Crop Officer + Inkhundla Indvuna</t>
  </si>
  <si>
    <t>NAMBoard · WFP</t>
  </si>
  <si>
    <t>~3,000 seed packs · agronomy extension</t>
  </si>
  <si>
    <t>MoA Drought Response Protocol, Annex D</t>
  </si>
  <si>
    <t>v2024.0</t>
  </si>
  <si>
    <t>2024-08-15</t>
  </si>
  <si>
    <t>2024-09-10</t>
  </si>
  <si>
    <t>Coordinate with school holidays for distribution logistics.</t>
  </si>
  <si>
    <t>SOP-ECO-2</t>
  </si>
  <si>
    <t>Rangeland rest rotation</t>
  </si>
  <si>
    <t>Close two grazing blocks for 60 days under traditional authority enforcement.</t>
  </si>
  <si>
    <t>IPC ≥ 2</t>
  </si>
  <si>
    <t>rangeland ≥ 3,000</t>
  </si>
  <si>
    <t>Moderate+</t>
  </si>
  <si>
    <t>Inkhundla chief + MoA range officer</t>
  </si>
  <si>
    <t>Forestry Department</t>
  </si>
  <si>
    <t>Signage · enforcement patrols · livestock census</t>
  </si>
  <si>
    <t>MoA Range Management Guidelines, §6</t>
  </si>
  <si>
    <t>v2023.1</t>
  </si>
  <si>
    <t>2023-08-20</t>
  </si>
  <si>
    <t>2023-10-01</t>
  </si>
  <si>
    <t>Enforcement depends on traditional authority cooperation.</t>
  </si>
  <si>
    <t>SOP-PREP-1</t>
  </si>
  <si>
    <t>Activate Inkhundla DRMC</t>
  </si>
  <si>
    <t>Stand up the Inkhundla Disaster Risk Management Committee; weekly situational meetings.</t>
  </si>
  <si>
    <t>D0+</t>
  </si>
  <si>
    <t>Inkhundla chief + NDRMA regional coordinator</t>
  </si>
  <si>
    <t>All sector officers</t>
  </si>
  <si>
    <t>Meeting venue · per diems · comms kit</t>
  </si>
  <si>
    <t>NDRMA DRMC Activation Guideline, v2025</t>
  </si>
  <si>
    <t>v2025.0</t>
  </si>
  <si>
    <t>2025-01-10</t>
  </si>
  <si>
    <t>2025-02-01</t>
  </si>
  <si>
    <t>Per-diem rates set annually by Treasury circular.</t>
  </si>
  <si>
    <t>SOP-PREP-3</t>
  </si>
  <si>
    <t>Social-protection seasonal top-up</t>
  </si>
  <si>
    <t>Activate seasonal cash supplement under existing social-protection envelope for vulnerable households.</t>
  </si>
  <si>
    <t>u5 ≥ 300</t>
  </si>
  <si>
    <t>DPMO + Inkhundla Indvuna</t>
  </si>
  <si>
    <t>UNICEF · WFP · Red Cross</t>
  </si>
  <si>
    <t>E230k from existing envelope · enrolment lists</t>
  </si>
  <si>
    <t>Social Protection Framework, Drought Addendum</t>
  </si>
  <si>
    <t>2024-07-05</t>
  </si>
  <si>
    <t>Approved</t>
  </si>
  <si>
    <t>2024-08-12</t>
  </si>
  <si>
    <t>Pilot in WASH-vulnerable Tinkhundla 2024/25 season.</t>
  </si>
  <si>
    <t>SINGLE SOP DEEP-CAPTURE FORM</t>
  </si>
  <si>
    <t>Print one per protocol. Workshop participants fill in long-hand, then transcribe into the SOP Inventory sheet.</t>
  </si>
  <si>
    <t>Hazard threshold  (e.g. D2+)</t>
  </si>
  <si>
    <t>Vulnerability threshold  (e.g. IPC ≥ 3)</t>
  </si>
  <si>
    <t>Exposure threshold  (e.g. pop ≥ 2,500 · cattle ≥ 1,500)</t>
  </si>
  <si>
    <t>Risk-class gate  (e.g. High+ · Very High)</t>
  </si>
  <si>
    <t>Owner (role + organisation)</t>
  </si>
  <si>
    <t>Source document (title, section, version)</t>
  </si>
  <si>
    <t>Last reviewed (date)</t>
  </si>
  <si>
    <t>Dependencies / pre-requisites</t>
  </si>
  <si>
    <t>Escalation chain</t>
  </si>
  <si>
    <t>Known gaps in current capacity</t>
  </si>
  <si>
    <t>Approver (name + role + organisation)</t>
  </si>
  <si>
    <t>Notes / rationale</t>
  </si>
  <si>
    <t>Once captured here, transcribe to the SOP Inventory sheet. Retain the printed form in the NDRMA SOP archive with the original signature.</t>
  </si>
  <si>
    <t>SECTOR REFERENCE</t>
  </si>
  <si>
    <t>The four operational sectors of the DIH response. Under the new risk model, sectors no longer have their own vulnerability sub-indices — vulnerability is a single national IPC layer. Each SOP expresses its sector fit through the Sector column plus sector-specific eligibility counts (cattle for AG, boreholes for WASH, u5 for PREP, etc.). See the Trigger fields sheet for the current vocabulary and DIH-Risk-Dataset-Handover.xlsx for the actual per-Inkhundla values.</t>
  </si>
  <si>
    <t>Sector code</t>
  </si>
  <si>
    <t>Lead organisation</t>
  </si>
  <si>
    <t>Typical eligibility counts</t>
  </si>
  <si>
    <t>Typical action triggers</t>
  </si>
  <si>
    <t>pop · boreholes · taps · water_demand</t>
  </si>
  <si>
    <t>Borehole reinforcement · water-trucking · communal tap audit · emergency drilling</t>
  </si>
  <si>
    <t>rainfed_cropland · cattle · u5 · IPC phase</t>
  </si>
  <si>
    <t>Livestock offtake · seed distribution · crop insurance · fodder reserves</t>
  </si>
  <si>
    <t>rangeland · land_use_dvi_agri</t>
  </si>
  <si>
    <t>Rangeland rest rotation · fire risk pre-positioning · invasive species control</t>
  </si>
  <si>
    <t>pop · u5 · elderly · riskScore</t>
  </si>
  <si>
    <t>Activate DRMC · social protection top-up · school feeding scale-up</t>
  </si>
  <si>
    <t>TRIGGER FIELDS</t>
  </si>
  <si>
    <t>Every field a SOP trigger can reference under the new risk model. Values come from DIH-Risk-Dataset-Handover.xlsx (one sheet per exposure sub-indicator, one for IPC vulnerability, one for the current-cycle hazard). Field identifiers below match the workbook's column names — reuse them exactly in your SOP trigger cells.</t>
  </si>
  <si>
    <t>Identifier</t>
  </si>
  <si>
    <t>Type</t>
  </si>
  <si>
    <t>Range</t>
  </si>
  <si>
    <t>Source (Handover workbook sheet)</t>
  </si>
  <si>
    <t>Example threshold</t>
  </si>
  <si>
    <t>dclass</t>
  </si>
  <si>
    <t>Categorical</t>
  </si>
  <si>
    <t>None · D0 – D4</t>
  </si>
  <si>
    <t>Validated NDMC drought class for the Inkhundla this cycle</t>
  </si>
  <si>
    <t>Hazard_current_cycle · Validated D-class</t>
  </si>
  <si>
    <t>"D2+" (D2 or worse)</t>
  </si>
  <si>
    <t>hazard</t>
  </si>
  <si>
    <t>Numeric</t>
  </si>
  <si>
    <t>0.00 – 1.00</t>
  </si>
  <si>
    <t>H value: rescaled D-class (None 0 · D0 0.2 · D1 0.4 · D2 0.6 · D3 0.8 · D4 1.0)</t>
  </si>
  <si>
    <t>Hazard_current_cycle · H value</t>
  </si>
  <si>
    <t>≥ 0.60 (= D2+)</t>
  </si>
  <si>
    <t>land_use_dvi_agri</t>
  </si>
  <si>
    <t>≈ 0.55 – 0.90</t>
  </si>
  <si>
    <t>Polygon mean DVI-agri (Dynamic World reclass + agri mask)</t>
  </si>
  <si>
    <t>Exposure_LandUse · DVI-agri (raw)</t>
  </si>
  <si>
    <t>≥ 0.75</t>
  </si>
  <si>
    <t>land_use_norm</t>
  </si>
  <si>
    <t>0 – 1</t>
  </si>
  <si>
    <t>Min-max normalised DVI-agri across the 59 Tinkhundla</t>
  </si>
  <si>
    <t>Exposure_LandUse · Normalised</t>
  </si>
  <si>
    <t>≥ 0.60</t>
  </si>
  <si>
    <t>pop</t>
  </si>
  <si>
    <t>Integer</t>
  </si>
  <si>
    <t>~500 – 25,000</t>
  </si>
  <si>
    <t>Population count</t>
  </si>
  <si>
    <t>Exposure_Population · Population count</t>
  </si>
  <si>
    <t>≥ 2,500</t>
  </si>
  <si>
    <t>pop_norm</t>
  </si>
  <si>
    <t>Min-max normalised population</t>
  </si>
  <si>
    <t>Exposure_Population · Normalised</t>
  </si>
  <si>
    <t>cattle</t>
  </si>
  <si>
    <t>~300 – 5,000</t>
  </si>
  <si>
    <t>Cattle count (MoA livestock census)</t>
  </si>
  <si>
    <t>Exposure_Cattle · Cattle count</t>
  </si>
  <si>
    <t>≥ 1,500</t>
  </si>
  <si>
    <t>cattle_norm</t>
  </si>
  <si>
    <t>Min-max normalised cattle count</t>
  </si>
  <si>
    <t>Exposure_Cattle · Normalised</t>
  </si>
  <si>
    <t>water_demand</t>
  </si>
  <si>
    <t>TBD</t>
  </si>
  <si>
    <t>Water demand (raw) — awaiting DWA methodology</t>
  </si>
  <si>
    <t>Exposure_WaterDemand · Water demand (raw)</t>
  </si>
  <si>
    <t>water_demand_norm</t>
  </si>
  <si>
    <t>Min-max normalised water demand — currently blank</t>
  </si>
  <si>
    <t>Exposure_WaterDemand · Normalised</t>
  </si>
  <si>
    <t>exposure</t>
  </si>
  <si>
    <t>Composite exposure = mean of the 4 (or 3 while water demand pending) sub-indicators</t>
  </si>
  <si>
    <t>Risk_expected · Exposure (E)</t>
  </si>
  <si>
    <t>ipc_phase</t>
  </si>
  <si>
    <t>1 – 5</t>
  </si>
  <si>
    <t>IPC Acute Food Insecurity phase for the Inkhundla</t>
  </si>
  <si>
    <t>Vulnerability_IPC · IPC phase</t>
  </si>
  <si>
    <t>≥ 3 (Crisis or worse)</t>
  </si>
  <si>
    <t>vulnerability</t>
  </si>
  <si>
    <t>0.10 – 1.00</t>
  </si>
  <si>
    <t>V value: mapped IPC phase (1→0.10 · 2→0.30 · 3→0.60 · 4→0.85 · 5→1.00)</t>
  </si>
  <si>
    <t>Vulnerability_IPC · V value</t>
  </si>
  <si>
    <t>riskScore</t>
  </si>
  <si>
    <t>Final risk score = Hazard × Exposure × Vulnerability</t>
  </si>
  <si>
    <t>Risk_expected · Risk score</t>
  </si>
  <si>
    <t>≥ 0.30 (High)</t>
  </si>
  <si>
    <t>riskClass</t>
  </si>
  <si>
    <t>Very High · High · Moderate · Low</t>
  </si>
  <si>
    <t>Discretised risk score for map + action matching</t>
  </si>
  <si>
    <t>Risk_expected · Risk class</t>
  </si>
  <si>
    <t>"High+" / "Very High"</t>
  </si>
  <si>
    <t>u5</t>
  </si>
  <si>
    <t>~50 – 2,500</t>
  </si>
  <si>
    <t>Children under 5 (eligibility filter for child-nutrition SOPs)</t>
  </si>
  <si>
    <t>Inkhundla_master (extend as needed)</t>
  </si>
  <si>
    <t>≥ 300</t>
  </si>
  <si>
    <t>elderly</t>
  </si>
  <si>
    <t>~50 – 1,500</t>
  </si>
  <si>
    <t>Adults over 60 (eligibility filter for social-protection SOPs)</t>
  </si>
  <si>
    <t>≥ 250</t>
  </si>
  <si>
    <t>rainfed_cropland</t>
  </si>
  <si>
    <t>~500 – 6,000 ha</t>
  </si>
  <si>
    <t>Rain-fed cropland hectares (eligibility filter for AG SOPs)</t>
  </si>
  <si>
    <t>rangeland</t>
  </si>
  <si>
    <t>~1,500 – 8,000 ha</t>
  </si>
  <si>
    <t>Rangeland area (eligibility filter for ECO SOPs)</t>
  </si>
  <si>
    <t>≥ 3,000</t>
  </si>
  <si>
    <t>boreholes</t>
  </si>
  <si>
    <t>~1 – 20</t>
  </si>
  <si>
    <t>Boreholes in the Inkhundla (eligibility filter for WASH SOPs)</t>
  </si>
  <si>
    <t>≤ 5</t>
  </si>
  <si>
    <t>region</t>
  </si>
  <si>
    <t>Hhohho · Manzini · Lubombo · Shiselweni</t>
  </si>
  <si>
    <t>Administrative region</t>
  </si>
  <si>
    <t>Inkhundla_master · Region</t>
  </si>
  <si>
    <t>zone</t>
  </si>
  <si>
    <t>Highveld · Middleveld · Lowveld · Lubombo Plateau</t>
  </si>
  <si>
    <t>Agro-ecological zone</t>
  </si>
  <si>
    <t>Inkhundla_master · Agro-eco zone</t>
  </si>
  <si>
    <t>STATUS WORKFLOW</t>
  </si>
  <si>
    <t>The lifecycle every SOP follows from authoring to operational use to retirement.</t>
  </si>
  <si>
    <t>Definition</t>
  </si>
  <si>
    <t>Who can move it here</t>
  </si>
  <si>
    <t>SLA / cadence</t>
  </si>
  <si>
    <t>Visible in Hub?</t>
  </si>
  <si>
    <t>Draft</t>
  </si>
  <si>
    <t>Authored but not yet reviewed. Skeleton structure with key fields filled in.</t>
  </si>
  <si>
    <t>Sector lead or NDRMA SOP lead</t>
  </si>
  <si>
    <t>~1 week from authoring</t>
  </si>
  <si>
    <t>No</t>
  </si>
  <si>
    <t>Review</t>
  </si>
  <si>
    <t>Under technical and operational review — triggers, owner, resource ask scrutinised.</t>
  </si>
  <si>
    <t>~2 weeks max</t>
  </si>
  <si>
    <t>Sector lead signed off. Awaiting NDRMA cross-sector sign-off and Hub encoding.</t>
  </si>
  <si>
    <t>Sector lead</t>
  </si>
  <si>
    <t>~1 week max</t>
  </si>
  <si>
    <t>No (preview to NDRMA only)</t>
  </si>
  <si>
    <t>NDRMA approved. Encoded in the Hub. Triggers fire and produce action cards.</t>
  </si>
  <si>
    <t>Active until retired or revised</t>
  </si>
  <si>
    <t>Yes — action cards appear when trigger fires</t>
  </si>
  <si>
    <t>Archived</t>
  </si>
  <si>
    <t>Superseded or retired. Kept for audit trail. New version supersedes.</t>
  </si>
  <si>
    <t>Permanent</t>
  </si>
  <si>
    <t>No (audit log only)</t>
  </si>
  <si>
    <t>Approval chain</t>
  </si>
  <si>
    <t>Approves their sector library (e.g. all WASH SOPs).</t>
  </si>
  <si>
    <t>Approves cross-sector library (the union of all sectors).</t>
  </si>
  <si>
    <t>NDRMA Director General</t>
  </si>
  <si>
    <t>Operational sign-off — moves status to Active.</t>
  </si>
  <si>
    <t>Minister (DPMO)</t>
  </si>
  <si>
    <t>Methodology paper sign-off (annual).</t>
  </si>
  <si>
    <t>Response activity INVENTORY  ·   template v1.0  ·  July 2026</t>
  </si>
  <si>
    <t xml:space="preserve">This workbook is the inventory of response activities that feed the Actions layer of the Drought Intelligence Hub. Each protocol you enter here becomes a candidate action card that fires when its trigger condition is met against the validated Drought × Exposure × Vulnerability profile of an Inkhundla.
</t>
  </si>
  <si>
    <t>NDRMA project lead / interns</t>
  </si>
  <si>
    <t>Sector lead (DWA · MoA · MoH · MoEd)</t>
  </si>
  <si>
    <t>Agriculture and Food</t>
  </si>
  <si>
    <t>Health and Nutrition</t>
  </si>
  <si>
    <t>Education</t>
  </si>
  <si>
    <t>Environement and Energy</t>
  </si>
  <si>
    <t>Coordination</t>
  </si>
  <si>
    <t>Social Protection</t>
  </si>
  <si>
    <t>Transport and Logistics</t>
  </si>
  <si>
    <r>
      <rPr>
        <b/>
        <sz val="14"/>
        <color rgb="FF0F172A"/>
        <rFont val="Arial"/>
        <family val="2"/>
      </rPr>
      <t>R</t>
    </r>
    <r>
      <rPr>
        <b/>
        <sz val="14"/>
        <color rgb="FF0F172A"/>
        <rFont val="Arial"/>
        <charset val="1"/>
      </rPr>
      <t>esponse activities by sector</t>
    </r>
  </si>
  <si>
    <t>Food and Nutrition</t>
  </si>
  <si>
    <t>Environment and Energy</t>
  </si>
  <si>
    <t>Open RA Inventory — one row per RA. The first 7 rows are pre-filled illustrative examples; replace them with your own.</t>
  </si>
  <si>
    <t>Concecutive number of months</t>
  </si>
  <si>
    <t>Exposure (population)</t>
  </si>
  <si>
    <t>Exposure (water demand)</t>
  </si>
  <si>
    <t>Exposure (cattle count)</t>
  </si>
  <si>
    <t>Exposure (land-use)</t>
  </si>
  <si>
    <t>Public / Instutitional</t>
  </si>
  <si>
    <t>Institutional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</si>
</sst>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8"/>
      <color rgb="FFFFFFFF"/>
      <name val="Arial"/>
      <charset val="1"/>
    </font>
    <font>
      <b/>
      <sz val="14"/>
      <color rgb="FF0F172A"/>
      <name val="Arial"/>
      <charset val="1"/>
    </font>
    <font>
      <sz val="10"/>
      <color rgb="FF0F172A"/>
      <name val="Arial"/>
      <charset val="1"/>
    </font>
    <font>
      <b/>
      <sz val="10"/>
      <color rgb="FF0F172A"/>
      <name val="Arial"/>
      <charset val="1"/>
    </font>
    <font>
      <b/>
      <sz val="26"/>
      <color rgb="FFF59E0B"/>
      <name val="Arial"/>
      <charset val="1"/>
    </font>
    <font>
      <b/>
      <sz val="9"/>
      <color rgb="FF64748B"/>
      <name val="Arial"/>
      <charset val="1"/>
    </font>
    <font>
      <b/>
      <sz val="9"/>
      <color rgb="FF0F172A"/>
      <name val="Arial"/>
      <charset val="1"/>
    </font>
    <font>
      <b/>
      <sz val="12"/>
      <color rgb="FFF59E0B"/>
      <name val="Arial"/>
      <charset val="1"/>
    </font>
    <font>
      <b/>
      <sz val="11"/>
      <name val="Arial"/>
      <charset val="1"/>
    </font>
    <font>
      <i/>
      <sz val="10"/>
      <color rgb="FF4B5563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F172A"/>
      <name val="Consolas"/>
      <charset val="1"/>
    </font>
    <font>
      <sz val="10"/>
      <name val="Arial"/>
      <charset val="1"/>
    </font>
    <font>
      <b/>
      <sz val="13"/>
      <name val="Arial"/>
      <charset val="1"/>
    </font>
    <font>
      <i/>
      <sz val="10"/>
      <color rgb="FF1F2937"/>
      <name val="Arial"/>
      <charset val="1"/>
    </font>
    <font>
      <b/>
      <sz val="14"/>
      <color rgb="FFF59E0B"/>
      <name val="Arial"/>
      <charset val="1"/>
    </font>
    <font>
      <sz val="10"/>
      <color rgb="FF0F172A"/>
      <name val="Arial"/>
      <family val="2"/>
    </font>
    <font>
      <b/>
      <sz val="18"/>
      <color rgb="FFFFFFFF"/>
      <name val="Avenir Book"/>
      <family val="2"/>
    </font>
    <font>
      <sz val="11"/>
      <color rgb="FFFFFFFF"/>
      <name val="Avenir Book"/>
      <family val="2"/>
    </font>
    <font>
      <sz val="10"/>
      <color rgb="FF0F172A"/>
      <name val="Avenir Book"/>
      <family val="2"/>
    </font>
    <font>
      <b/>
      <sz val="10"/>
      <color rgb="FF0F172A"/>
      <name val="Arial"/>
      <family val="2"/>
    </font>
    <font>
      <b/>
      <sz val="14"/>
      <color rgb="FF0F172A"/>
      <name val="Arial"/>
      <family val="2"/>
    </font>
    <font>
      <sz val="11"/>
      <color rgb="FF0F172A"/>
      <name val="Calibri"/>
      <family val="2"/>
      <scheme val="minor"/>
    </font>
    <font>
      <sz val="12"/>
      <name val="Calibri"/>
      <family val="2"/>
      <scheme val="minor"/>
    </font>
    <font>
      <sz val="12"/>
      <color rgb="FF0F172A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C2B3A"/>
        <bgColor rgb="FF1F2937"/>
      </patternFill>
    </fill>
    <fill>
      <patternFill patternType="solid">
        <fgColor rgb="FFFFEDD5"/>
        <bgColor rgb="FFFEF3C7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369A1"/>
        <bgColor rgb="FF008080"/>
      </patternFill>
    </fill>
    <fill>
      <patternFill patternType="solid">
        <fgColor rgb="FFB45309"/>
        <bgColor rgb="FF993366"/>
      </patternFill>
    </fill>
    <fill>
      <patternFill patternType="solid">
        <fgColor rgb="FF7C3AED"/>
        <bgColor rgb="FF993366"/>
      </patternFill>
    </fill>
    <fill>
      <patternFill patternType="solid">
        <fgColor rgb="FF475569"/>
        <bgColor rgb="FF4B5563"/>
      </patternFill>
    </fill>
    <fill>
      <patternFill patternType="solid">
        <fgColor rgb="FF15803D"/>
        <bgColor rgb="FF008080"/>
      </patternFill>
    </fill>
    <fill>
      <patternFill patternType="solid">
        <fgColor rgb="FF1F2937"/>
        <bgColor rgb="FF1C2B3A"/>
      </patternFill>
    </fill>
    <fill>
      <patternFill patternType="solid">
        <fgColor rgb="FFEEF2FF"/>
        <bgColor rgb="FFF1F5F9"/>
      </patternFill>
    </fill>
    <fill>
      <patternFill patternType="solid">
        <fgColor rgb="FFECFDF5"/>
        <bgColor rgb="FFECFEFF"/>
      </patternFill>
    </fill>
    <fill>
      <patternFill patternType="solid">
        <fgColor rgb="FFDCFCE7"/>
        <bgColor rgb="FFECFDF5"/>
      </patternFill>
    </fill>
    <fill>
      <patternFill patternType="solid">
        <fgColor rgb="FFECFEFF"/>
        <bgColor rgb="FFECFDF5"/>
      </patternFill>
    </fill>
    <fill>
      <patternFill patternType="solid">
        <fgColor rgb="FFFFF7ED"/>
        <bgColor rgb="FFF8FAFC"/>
      </patternFill>
    </fill>
    <fill>
      <patternFill patternType="solid">
        <fgColor rgb="FFFEF3C7"/>
        <bgColor rgb="FFFFEDD5"/>
      </patternFill>
    </fill>
    <fill>
      <patternFill patternType="solid">
        <fgColor rgb="FFF59E0B"/>
        <bgColor rgb="FFFFCC00"/>
      </patternFill>
    </fill>
    <fill>
      <patternFill patternType="solid">
        <fgColor rgb="FFF1F5F9"/>
        <bgColor rgb="FFF5F3FF"/>
      </patternFill>
    </fill>
    <fill>
      <patternFill patternType="solid">
        <fgColor rgb="FFF5F3FF"/>
        <bgColor rgb="FFF1F5F9"/>
      </patternFill>
    </fill>
  </fills>
  <borders count="19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1D5DB"/>
      </left>
      <right style="thin">
        <color theme="0" tint="-0.34998626667073579"/>
      </right>
      <top style="thin">
        <color rgb="FFD1D5DB"/>
      </top>
      <bottom style="thin">
        <color theme="0" tint="-0.34998626667073579"/>
      </bottom>
      <diagonal/>
    </border>
    <border>
      <left/>
      <right/>
      <top style="thin">
        <color rgb="FFD1D5DB"/>
      </top>
      <bottom style="thin">
        <color theme="0" tint="-0.34998626667073579"/>
      </bottom>
      <diagonal/>
    </border>
    <border>
      <left/>
      <right style="thin">
        <color rgb="FFD1D5DB"/>
      </right>
      <top style="thin">
        <color rgb="FFD1D5DB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3" fillId="10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/>
    <xf numFmtId="0" fontId="13" fillId="6" borderId="0" xfId="0" applyFont="1" applyFill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12" borderId="2" xfId="0" applyFont="1" applyFill="1" applyBorder="1" applyAlignment="1">
      <alignment horizontal="left" vertical="top" wrapText="1"/>
    </xf>
    <xf numFmtId="0" fontId="16" fillId="13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left" vertical="top" wrapText="1"/>
    </xf>
    <xf numFmtId="0" fontId="17" fillId="0" borderId="0" xfId="0" applyFont="1"/>
    <xf numFmtId="0" fontId="12" fillId="0" borderId="0" xfId="0" applyFont="1"/>
    <xf numFmtId="0" fontId="13" fillId="11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top" wrapText="1"/>
    </xf>
    <xf numFmtId="0" fontId="14" fillId="0" borderId="0" xfId="0" applyFont="1"/>
    <xf numFmtId="0" fontId="4" fillId="0" borderId="0" xfId="0" applyFont="1"/>
    <xf numFmtId="0" fontId="5" fillId="19" borderId="2" xfId="0" applyFont="1" applyFill="1" applyBorder="1" applyAlignment="1">
      <alignment horizontal="left" vertical="top" wrapText="1"/>
    </xf>
    <xf numFmtId="0" fontId="5" fillId="20" borderId="2" xfId="0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1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3" fillId="18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2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top" wrapText="1"/>
    </xf>
    <xf numFmtId="0" fontId="24" fillId="3" borderId="1" xfId="0" applyFont="1" applyFill="1" applyBorder="1" applyAlignment="1">
      <alignment horizontal="left" vertical="center" wrapText="1" indent="1"/>
    </xf>
    <xf numFmtId="0" fontId="20" fillId="0" borderId="2" xfId="0" applyFont="1" applyBorder="1" applyAlignment="1">
      <alignment horizontal="left" vertical="center" wrapText="1"/>
    </xf>
    <xf numFmtId="0" fontId="20" fillId="0" borderId="4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9" fontId="4" fillId="0" borderId="0" xfId="0" applyNumberFormat="1" applyFont="1" applyBorder="1" applyAlignment="1">
      <alignment horizontal="center" vertical="center" wrapText="1"/>
    </xf>
    <xf numFmtId="0" fontId="25" fillId="0" borderId="0" xfId="0" applyFont="1"/>
    <xf numFmtId="0" fontId="1" fillId="0" borderId="0" xfId="0" applyFont="1"/>
    <xf numFmtId="0" fontId="27" fillId="0" borderId="6" xfId="0" applyFont="1" applyFill="1" applyBorder="1" applyAlignment="1">
      <alignment horizontal="left" wrapText="1"/>
    </xf>
    <xf numFmtId="0" fontId="27" fillId="0" borderId="15" xfId="0" applyFont="1" applyBorder="1" applyAlignment="1">
      <alignment horizontal="left" vertical="top" wrapText="1"/>
    </xf>
    <xf numFmtId="0" fontId="27" fillId="0" borderId="14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0" fontId="27" fillId="0" borderId="8" xfId="0" applyFont="1" applyBorder="1" applyAlignment="1">
      <alignment horizontal="left" vertical="top" wrapText="1"/>
    </xf>
    <xf numFmtId="0" fontId="27" fillId="0" borderId="5" xfId="0" applyFont="1" applyBorder="1" applyAlignment="1">
      <alignment horizontal="left" vertical="top" wrapText="1"/>
    </xf>
    <xf numFmtId="0" fontId="27" fillId="0" borderId="13" xfId="0" applyFont="1" applyBorder="1" applyAlignment="1">
      <alignment horizontal="left" vertical="top" wrapText="1"/>
    </xf>
    <xf numFmtId="0" fontId="27" fillId="0" borderId="17" xfId="0" applyFont="1" applyBorder="1" applyAlignment="1">
      <alignment horizontal="left" vertical="top" wrapText="1"/>
    </xf>
    <xf numFmtId="0" fontId="27" fillId="0" borderId="18" xfId="0" applyFont="1" applyBorder="1" applyAlignment="1">
      <alignment horizontal="left" vertical="top" wrapText="1"/>
    </xf>
    <xf numFmtId="0" fontId="26" fillId="0" borderId="0" xfId="0" applyFont="1" applyBorder="1"/>
    <xf numFmtId="0" fontId="26" fillId="0" borderId="8" xfId="0" applyFont="1" applyBorder="1"/>
    <xf numFmtId="0" fontId="26" fillId="0" borderId="5" xfId="0" applyFont="1" applyBorder="1"/>
    <xf numFmtId="0" fontId="29" fillId="0" borderId="13" xfId="0" applyFont="1" applyBorder="1"/>
    <xf numFmtId="0" fontId="29" fillId="0" borderId="6" xfId="0" applyFont="1" applyBorder="1"/>
    <xf numFmtId="0" fontId="29" fillId="0" borderId="14" xfId="0" applyFont="1" applyBorder="1"/>
    <xf numFmtId="0" fontId="29" fillId="0" borderId="10" xfId="0" applyFont="1" applyBorder="1"/>
    <xf numFmtId="0" fontId="29" fillId="0" borderId="9" xfId="0" applyFont="1" applyBorder="1"/>
    <xf numFmtId="0" fontId="29" fillId="0" borderId="11" xfId="0" applyFont="1" applyBorder="1"/>
    <xf numFmtId="0" fontId="27" fillId="0" borderId="16" xfId="0" applyFont="1" applyBorder="1" applyAlignment="1">
      <alignment horizontal="left" wrapText="1"/>
    </xf>
    <xf numFmtId="0" fontId="27" fillId="0" borderId="6" xfId="0" applyFont="1" applyBorder="1" applyAlignment="1">
      <alignment horizontal="left" wrapText="1"/>
    </xf>
    <xf numFmtId="0" fontId="27" fillId="0" borderId="8" xfId="0" applyFont="1" applyBorder="1" applyAlignment="1">
      <alignment horizontal="left" wrapText="1"/>
    </xf>
    <xf numFmtId="0" fontId="28" fillId="0" borderId="12" xfId="0" applyFont="1" applyBorder="1" applyAlignment="1"/>
    <xf numFmtId="0" fontId="27" fillId="0" borderId="9" xfId="0" applyFont="1" applyFill="1" applyBorder="1" applyAlignment="1">
      <alignment horizontal="left" wrapText="1"/>
    </xf>
    <xf numFmtId="0" fontId="30" fillId="11" borderId="3" xfId="0" applyFont="1" applyFill="1" applyBorder="1" applyAlignment="1">
      <alignment horizontal="center" vertical="center" wrapText="1"/>
    </xf>
    <xf numFmtId="0" fontId="30" fillId="11" borderId="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AFC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EEF2FF"/>
      <rgbColor rgb="FF808080"/>
      <rgbColor rgb="FF9999FF"/>
      <rgbColor rgb="FF7C3AED"/>
      <rgbColor rgb="FFFEF3C7"/>
      <rgbColor rgb="FFDCFCE7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EFF"/>
      <rgbColor rgb="FFECFDF5"/>
      <rgbColor rgb="FFFFEDD5"/>
      <rgbColor rgb="FFF1F5F9"/>
      <rgbColor rgb="FFF5F3FF"/>
      <rgbColor rgb="FFFFF7ED"/>
      <rgbColor rgb="FFE2E8F0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1C2B3A"/>
      <rgbColor rgb="FF339966"/>
      <rgbColor rgb="FF0F172A"/>
      <rgbColor rgb="FF4B5563"/>
      <rgbColor rgb="FFB45309"/>
      <rgbColor rgb="FF993366"/>
      <rgbColor rgb="FF47556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topLeftCell="A16" zoomScaleNormal="100" workbookViewId="0">
      <selection activeCell="B40" sqref="B40:H40"/>
    </sheetView>
  </sheetViews>
  <sheetFormatPr baseColWidth="10" defaultColWidth="8.6640625" defaultRowHeight="15" x14ac:dyDescent="0.2"/>
  <cols>
    <col min="1" max="1" width="30.33203125" customWidth="1"/>
    <col min="2" max="3" width="14" customWidth="1"/>
    <col min="4" max="4" width="18" customWidth="1"/>
    <col min="5" max="7" width="14" customWidth="1"/>
    <col min="8" max="8" width="44.83203125" customWidth="1"/>
  </cols>
  <sheetData>
    <row r="1" spans="1:8" ht="25.5" customHeight="1" x14ac:dyDescent="0.2">
      <c r="A1" s="52" t="s">
        <v>0</v>
      </c>
      <c r="B1" s="52"/>
      <c r="C1" s="52"/>
      <c r="D1" s="52"/>
      <c r="E1" s="52"/>
      <c r="F1" s="52"/>
      <c r="G1" s="52"/>
      <c r="H1" s="52"/>
    </row>
    <row r="2" spans="1:8" ht="21.75" customHeight="1" x14ac:dyDescent="0.2">
      <c r="A2" s="52"/>
      <c r="B2" s="52"/>
      <c r="C2" s="52"/>
      <c r="D2" s="52"/>
      <c r="E2" s="52"/>
      <c r="F2" s="52"/>
      <c r="G2" s="52"/>
      <c r="H2" s="52"/>
    </row>
    <row r="3" spans="1:8" ht="21.75" customHeight="1" x14ac:dyDescent="0.2">
      <c r="A3" s="52"/>
      <c r="B3" s="52"/>
      <c r="C3" s="52"/>
      <c r="D3" s="52"/>
      <c r="E3" s="52"/>
      <c r="F3" s="52"/>
      <c r="G3" s="52"/>
      <c r="H3" s="52"/>
    </row>
    <row r="4" spans="1:8" ht="21.75" customHeight="1" x14ac:dyDescent="0.2">
      <c r="A4" s="52"/>
      <c r="B4" s="52"/>
      <c r="C4" s="52"/>
      <c r="D4" s="52"/>
      <c r="E4" s="52"/>
      <c r="F4" s="52"/>
      <c r="G4" s="52"/>
      <c r="H4" s="52"/>
    </row>
    <row r="5" spans="1:8" ht="15.75" customHeight="1" x14ac:dyDescent="0.2">
      <c r="A5" s="53" t="s">
        <v>312</v>
      </c>
      <c r="B5" s="53"/>
      <c r="C5" s="53"/>
      <c r="D5" s="53"/>
      <c r="E5" s="53"/>
      <c r="F5" s="53"/>
      <c r="G5" s="53"/>
      <c r="H5" s="53"/>
    </row>
    <row r="6" spans="1:8" ht="15.75" customHeight="1" x14ac:dyDescent="0.2">
      <c r="A6" s="53"/>
      <c r="B6" s="53"/>
      <c r="C6" s="53"/>
      <c r="D6" s="53"/>
      <c r="E6" s="53"/>
      <c r="F6" s="53"/>
      <c r="G6" s="53"/>
      <c r="H6" s="53"/>
    </row>
    <row r="7" spans="1:8" ht="7.5" customHeight="1" x14ac:dyDescent="0.2"/>
    <row r="8" spans="1:8" ht="21.75" customHeight="1" x14ac:dyDescent="0.2">
      <c r="A8" s="13" t="s">
        <v>1</v>
      </c>
    </row>
    <row r="9" spans="1:8" ht="15" customHeight="1" x14ac:dyDescent="0.2">
      <c r="A9" s="54" t="s">
        <v>313</v>
      </c>
      <c r="B9" s="54"/>
      <c r="C9" s="54"/>
      <c r="D9" s="54"/>
      <c r="E9" s="54"/>
      <c r="F9" s="54"/>
      <c r="G9" s="54"/>
      <c r="H9" s="54"/>
    </row>
    <row r="10" spans="1:8" x14ac:dyDescent="0.2">
      <c r="A10" s="54"/>
      <c r="B10" s="54"/>
      <c r="C10" s="54"/>
      <c r="D10" s="54"/>
      <c r="E10" s="54"/>
      <c r="F10" s="54"/>
      <c r="G10" s="54"/>
      <c r="H10" s="54"/>
    </row>
    <row r="11" spans="1:8" x14ac:dyDescent="0.2">
      <c r="A11" s="54"/>
      <c r="B11" s="54"/>
      <c r="C11" s="54"/>
      <c r="D11" s="54"/>
      <c r="E11" s="54"/>
      <c r="F11" s="54"/>
      <c r="G11" s="54"/>
      <c r="H11" s="54"/>
    </row>
    <row r="12" spans="1:8" x14ac:dyDescent="0.2">
      <c r="A12" s="14"/>
      <c r="B12" s="14"/>
      <c r="C12" s="14"/>
      <c r="D12" s="14"/>
      <c r="E12" s="14"/>
      <c r="F12" s="14"/>
      <c r="G12" s="14"/>
      <c r="H12" s="14"/>
    </row>
    <row r="14" spans="1:8" ht="21.75" customHeight="1" x14ac:dyDescent="0.2">
      <c r="A14" s="13" t="s">
        <v>2</v>
      </c>
    </row>
    <row r="16" spans="1:8" ht="24" customHeight="1" x14ac:dyDescent="0.2">
      <c r="A16" s="55" t="s">
        <v>314</v>
      </c>
      <c r="B16" s="11"/>
      <c r="C16" s="11"/>
      <c r="D16" s="10" t="s">
        <v>4</v>
      </c>
      <c r="E16" s="10"/>
      <c r="F16" s="10"/>
      <c r="G16" s="10"/>
      <c r="H16" s="10"/>
    </row>
    <row r="17" spans="1:10" ht="24" customHeight="1" x14ac:dyDescent="0.2">
      <c r="A17" s="55" t="s">
        <v>315</v>
      </c>
      <c r="B17" s="11"/>
      <c r="C17" s="11"/>
      <c r="D17" s="10" t="s">
        <v>5</v>
      </c>
      <c r="E17" s="10"/>
      <c r="F17" s="10"/>
      <c r="G17" s="10"/>
      <c r="H17" s="10"/>
    </row>
    <row r="18" spans="1:10" ht="24" customHeight="1" x14ac:dyDescent="0.2">
      <c r="A18" s="11" t="s">
        <v>6</v>
      </c>
      <c r="B18" s="11"/>
      <c r="C18" s="11"/>
      <c r="D18" s="10" t="s">
        <v>7</v>
      </c>
      <c r="E18" s="10"/>
      <c r="F18" s="10"/>
      <c r="G18" s="10"/>
      <c r="H18" s="10"/>
    </row>
    <row r="19" spans="1:10" ht="24" customHeight="1" x14ac:dyDescent="0.2">
      <c r="A19" s="11" t="s">
        <v>8</v>
      </c>
      <c r="B19" s="11"/>
      <c r="C19" s="11"/>
      <c r="D19" s="10" t="s">
        <v>9</v>
      </c>
      <c r="E19" s="10"/>
      <c r="F19" s="10"/>
      <c r="G19" s="10"/>
      <c r="H19" s="10"/>
    </row>
    <row r="20" spans="1:10" ht="24" customHeight="1" x14ac:dyDescent="0.2">
      <c r="A20" s="11"/>
      <c r="B20" s="11"/>
      <c r="C20" s="11"/>
      <c r="D20" s="10"/>
      <c r="E20" s="10"/>
      <c r="F20" s="10"/>
      <c r="G20" s="10"/>
      <c r="H20" s="10"/>
    </row>
    <row r="23" spans="1:10" ht="24" customHeight="1" x14ac:dyDescent="0.2">
      <c r="A23" s="13" t="s">
        <v>10</v>
      </c>
    </row>
    <row r="24" spans="1:10" ht="43.5" customHeight="1" x14ac:dyDescent="0.2">
      <c r="A24" s="9">
        <f>COUNTA('RA Inventory'!B7:B500)</f>
        <v>7</v>
      </c>
      <c r="B24" s="9"/>
      <c r="C24" s="9">
        <f>COUNTIF('RA Inventory'!T7:T500,"Active")</f>
        <v>6</v>
      </c>
      <c r="D24" s="9"/>
      <c r="E24" s="9">
        <f>COUNTIF('RA Inventory'!T7:T500,"Approved")</f>
        <v>1</v>
      </c>
      <c r="F24" s="9"/>
      <c r="G24" s="9">
        <f>COUNTIF('RA Inventory'!T7:T500,"Review")</f>
        <v>0</v>
      </c>
      <c r="H24" s="9"/>
      <c r="I24" s="9">
        <f>COUNTIF('RA Inventory'!T7:T500,"Draft")</f>
        <v>0</v>
      </c>
      <c r="J24" s="9"/>
    </row>
    <row r="25" spans="1:10" ht="18" customHeight="1" x14ac:dyDescent="0.2">
      <c r="A25" s="8" t="s">
        <v>11</v>
      </c>
      <c r="B25" s="8"/>
      <c r="C25" s="8" t="s">
        <v>12</v>
      </c>
      <c r="D25" s="8"/>
      <c r="E25" s="8" t="s">
        <v>13</v>
      </c>
      <c r="F25" s="8"/>
      <c r="G25" s="8" t="s">
        <v>14</v>
      </c>
      <c r="H25" s="8"/>
      <c r="I25" s="8" t="s">
        <v>15</v>
      </c>
      <c r="J25" s="8"/>
    </row>
    <row r="28" spans="1:10" ht="21.75" customHeight="1" x14ac:dyDescent="0.2">
      <c r="A28" s="61" t="s">
        <v>323</v>
      </c>
    </row>
    <row r="29" spans="1:10" ht="21.75" customHeight="1" x14ac:dyDescent="0.2">
      <c r="A29" s="15" t="s">
        <v>16</v>
      </c>
      <c r="B29" s="15" t="s">
        <v>17</v>
      </c>
      <c r="C29" s="15"/>
      <c r="D29" s="15"/>
    </row>
    <row r="30" spans="1:10" ht="15" customHeight="1" x14ac:dyDescent="0.2">
      <c r="A30" s="16" t="s">
        <v>18</v>
      </c>
      <c r="B30" s="17">
        <f>COUNTIF('RA Inventory'!D5:D498,A30)</f>
        <v>2</v>
      </c>
      <c r="C30" s="17"/>
      <c r="D30" s="18"/>
    </row>
    <row r="31" spans="1:10" ht="15" customHeight="1" x14ac:dyDescent="0.2">
      <c r="A31" s="56" t="s">
        <v>316</v>
      </c>
      <c r="B31" s="17">
        <f>COUNTIF('RA Inventory'!D6:D499,A31)</f>
        <v>2</v>
      </c>
      <c r="C31" s="17"/>
      <c r="D31" s="18"/>
    </row>
    <row r="32" spans="1:10" ht="15" customHeight="1" x14ac:dyDescent="0.2">
      <c r="A32" s="56" t="s">
        <v>317</v>
      </c>
      <c r="B32" s="17">
        <f>COUNTIF('RA Inventory'!D7:D500,A32)</f>
        <v>0</v>
      </c>
      <c r="C32" s="17"/>
      <c r="D32" s="18"/>
    </row>
    <row r="33" spans="1:10" ht="15" customHeight="1" x14ac:dyDescent="0.2">
      <c r="A33" s="56" t="s">
        <v>318</v>
      </c>
      <c r="B33" s="17">
        <f>COUNTIF('RA Inventory'!D8:D501,A33)</f>
        <v>0</v>
      </c>
      <c r="C33" s="17"/>
      <c r="D33" s="18"/>
    </row>
    <row r="34" spans="1:10" x14ac:dyDescent="0.2">
      <c r="A34" s="57" t="s">
        <v>319</v>
      </c>
      <c r="B34" s="17">
        <f>COUNTIF('RA Inventory'!D9:D502,A34)</f>
        <v>0</v>
      </c>
      <c r="C34" s="17"/>
      <c r="D34" s="18"/>
    </row>
    <row r="35" spans="1:10" x14ac:dyDescent="0.2">
      <c r="A35" s="57" t="s">
        <v>322</v>
      </c>
      <c r="B35" s="17">
        <f>COUNTIF('RA Inventory'!D10:D503,A35)</f>
        <v>0</v>
      </c>
      <c r="C35" s="17"/>
      <c r="D35" s="18"/>
    </row>
    <row r="36" spans="1:10" x14ac:dyDescent="0.2">
      <c r="A36" s="57" t="s">
        <v>321</v>
      </c>
      <c r="B36" s="17">
        <f>COUNTIF('RA Inventory'!D11:D504,A36)</f>
        <v>0</v>
      </c>
      <c r="C36" s="17"/>
      <c r="D36" s="18"/>
    </row>
    <row r="37" spans="1:10" x14ac:dyDescent="0.2">
      <c r="A37" s="57" t="s">
        <v>320</v>
      </c>
      <c r="B37" s="17">
        <f>COUNTIF('RA Inventory'!D12:D505,A37)</f>
        <v>2</v>
      </c>
      <c r="C37" s="17"/>
      <c r="D37" s="18"/>
    </row>
    <row r="38" spans="1:10" x14ac:dyDescent="0.2">
      <c r="A38" s="58"/>
      <c r="B38" s="59"/>
      <c r="C38" s="59"/>
      <c r="D38" s="60"/>
    </row>
    <row r="39" spans="1:10" ht="21.75" customHeight="1" x14ac:dyDescent="0.2">
      <c r="A39" s="13" t="s">
        <v>19</v>
      </c>
    </row>
    <row r="40" spans="1:10" ht="21.75" customHeight="1" x14ac:dyDescent="0.2">
      <c r="A40" s="19" t="s">
        <v>20</v>
      </c>
      <c r="B40" s="89" t="s">
        <v>326</v>
      </c>
      <c r="C40" s="10"/>
      <c r="D40" s="10"/>
      <c r="E40" s="10"/>
      <c r="F40" s="10"/>
      <c r="G40" s="10"/>
      <c r="H40" s="10"/>
    </row>
    <row r="41" spans="1:10" ht="21.75" customHeight="1" x14ac:dyDescent="0.2">
      <c r="A41" s="19" t="s">
        <v>21</v>
      </c>
      <c r="B41" s="10" t="s">
        <v>22</v>
      </c>
      <c r="C41" s="10"/>
      <c r="D41" s="10"/>
      <c r="E41" s="10"/>
      <c r="F41" s="10"/>
      <c r="G41" s="10"/>
      <c r="H41" s="10"/>
    </row>
    <row r="42" spans="1:10" ht="21.75" customHeight="1" x14ac:dyDescent="0.2">
      <c r="A42" s="19" t="s">
        <v>23</v>
      </c>
      <c r="B42" s="10" t="s">
        <v>24</v>
      </c>
      <c r="C42" s="10"/>
      <c r="D42" s="10"/>
      <c r="E42" s="10"/>
      <c r="F42" s="10"/>
      <c r="G42" s="10"/>
      <c r="H42" s="10"/>
    </row>
    <row r="43" spans="1:10" ht="21.75" customHeight="1" x14ac:dyDescent="0.2">
      <c r="A43" s="19" t="s">
        <v>25</v>
      </c>
      <c r="B43" s="10" t="s">
        <v>26</v>
      </c>
      <c r="C43" s="10"/>
      <c r="D43" s="10"/>
      <c r="E43" s="10"/>
      <c r="F43" s="10"/>
      <c r="G43" s="10"/>
      <c r="H43" s="10"/>
    </row>
    <row r="44" spans="1:10" ht="21.75" customHeight="1" x14ac:dyDescent="0.2">
      <c r="A44" s="19" t="s">
        <v>27</v>
      </c>
      <c r="B44" s="10" t="s">
        <v>28</v>
      </c>
      <c r="C44" s="10"/>
      <c r="D44" s="10"/>
      <c r="E44" s="10"/>
      <c r="F44" s="10"/>
      <c r="G44" s="10"/>
      <c r="H44" s="10"/>
    </row>
    <row r="45" spans="1:10" ht="21.75" customHeight="1" x14ac:dyDescent="0.2">
      <c r="A45" s="19" t="s">
        <v>29</v>
      </c>
      <c r="B45" s="10" t="s">
        <v>30</v>
      </c>
      <c r="C45" s="10"/>
      <c r="D45" s="10"/>
      <c r="E45" s="10"/>
      <c r="F45" s="10"/>
      <c r="G45" s="10"/>
      <c r="H45" s="10"/>
    </row>
    <row r="47" spans="1:10" x14ac:dyDescent="0.2">
      <c r="A47" s="20" t="s">
        <v>31</v>
      </c>
    </row>
    <row r="48" spans="1:10" ht="61.5" customHeight="1" x14ac:dyDescent="0.2">
      <c r="A48" s="7" t="s">
        <v>32</v>
      </c>
      <c r="B48" s="7"/>
      <c r="C48" s="7"/>
      <c r="D48" s="7"/>
      <c r="E48" s="7"/>
      <c r="F48" s="7"/>
      <c r="G48" s="7"/>
      <c r="H48" s="7"/>
      <c r="I48" s="7"/>
      <c r="J48" s="7"/>
    </row>
  </sheetData>
  <mergeCells count="30">
    <mergeCell ref="B45:H45"/>
    <mergeCell ref="A48:J48"/>
    <mergeCell ref="B40:H40"/>
    <mergeCell ref="B41:H41"/>
    <mergeCell ref="B42:H42"/>
    <mergeCell ref="B43:H43"/>
    <mergeCell ref="B44:H44"/>
    <mergeCell ref="I24:J24"/>
    <mergeCell ref="A25:B25"/>
    <mergeCell ref="C25:D25"/>
    <mergeCell ref="E25:F25"/>
    <mergeCell ref="G25:H25"/>
    <mergeCell ref="I25:J25"/>
    <mergeCell ref="A20:C20"/>
    <mergeCell ref="D20:H20"/>
    <mergeCell ref="A24:B24"/>
    <mergeCell ref="C24:D24"/>
    <mergeCell ref="E24:F24"/>
    <mergeCell ref="G24:H24"/>
    <mergeCell ref="A17:C17"/>
    <mergeCell ref="D17:H17"/>
    <mergeCell ref="A18:C18"/>
    <mergeCell ref="D18:H18"/>
    <mergeCell ref="A19:C19"/>
    <mergeCell ref="D19:H19"/>
    <mergeCell ref="A1:H4"/>
    <mergeCell ref="A5:H6"/>
    <mergeCell ref="A9:H11"/>
    <mergeCell ref="A16:C16"/>
    <mergeCell ref="D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8" sqref="P7:P8"/>
    </sheetView>
  </sheetViews>
  <sheetFormatPr baseColWidth="10" defaultColWidth="8.6640625" defaultRowHeight="15" x14ac:dyDescent="0.2"/>
  <cols>
    <col min="1" max="1" width="14" customWidth="1"/>
    <col min="2" max="2" width="34" customWidth="1"/>
    <col min="3" max="3" width="50" customWidth="1"/>
    <col min="4" max="6" width="14" customWidth="1"/>
    <col min="7" max="10" width="24" customWidth="1"/>
    <col min="11" max="11" width="22" customWidth="1"/>
    <col min="12" max="12" width="26" customWidth="1"/>
    <col min="13" max="13" width="30" customWidth="1"/>
    <col min="14" max="14" width="28" customWidth="1"/>
    <col min="15" max="15" width="32" customWidth="1"/>
    <col min="16" max="16" width="14" customWidth="1"/>
    <col min="17" max="17" width="30" customWidth="1"/>
    <col min="18" max="18" width="10" customWidth="1"/>
    <col min="19" max="19" width="14" customWidth="1"/>
    <col min="20" max="20" width="12" customWidth="1"/>
    <col min="21" max="21" width="24" customWidth="1"/>
    <col min="22" max="22" width="14" customWidth="1"/>
    <col min="23" max="23" width="36" customWidth="1"/>
  </cols>
  <sheetData>
    <row r="1" spans="1:23" ht="24" customHeight="1" x14ac:dyDescent="0.2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5.7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" customHeight="1" x14ac:dyDescent="0.2">
      <c r="A3" s="6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5" spans="1:23" ht="21.75" customHeight="1" x14ac:dyDescent="0.2">
      <c r="A5" s="5" t="s">
        <v>35</v>
      </c>
      <c r="B5" s="5"/>
      <c r="C5" s="5"/>
      <c r="D5" s="21" t="s">
        <v>36</v>
      </c>
      <c r="E5" s="4" t="s">
        <v>37</v>
      </c>
      <c r="F5" s="4"/>
      <c r="G5" s="4"/>
      <c r="H5" s="4"/>
      <c r="I5" s="4"/>
      <c r="J5" s="4"/>
      <c r="K5" s="4"/>
      <c r="L5" s="4"/>
      <c r="M5" s="3" t="s">
        <v>38</v>
      </c>
      <c r="N5" s="3"/>
      <c r="O5" s="3"/>
      <c r="P5" s="3"/>
      <c r="Q5" s="2"/>
      <c r="R5" s="2"/>
      <c r="S5" s="2"/>
      <c r="T5" s="1" t="s">
        <v>40</v>
      </c>
      <c r="U5" s="1"/>
      <c r="V5" s="1"/>
      <c r="W5" s="1"/>
    </row>
    <row r="6" spans="1:23" ht="37.5" customHeight="1" x14ac:dyDescent="0.2">
      <c r="A6" s="22" t="s">
        <v>41</v>
      </c>
      <c r="B6" s="22" t="s">
        <v>42</v>
      </c>
      <c r="C6" s="22" t="s">
        <v>43</v>
      </c>
      <c r="D6" s="22" t="s">
        <v>16</v>
      </c>
      <c r="E6" s="23" t="s">
        <v>44</v>
      </c>
      <c r="F6" s="90" t="s">
        <v>327</v>
      </c>
      <c r="G6" s="23" t="s">
        <v>45</v>
      </c>
      <c r="H6" s="90" t="s">
        <v>328</v>
      </c>
      <c r="I6" s="90" t="s">
        <v>329</v>
      </c>
      <c r="J6" s="90" t="s">
        <v>330</v>
      </c>
      <c r="K6" s="90" t="s">
        <v>331</v>
      </c>
      <c r="L6" s="23" t="s">
        <v>46</v>
      </c>
      <c r="M6" s="22" t="s">
        <v>47</v>
      </c>
      <c r="N6" s="22" t="s">
        <v>48</v>
      </c>
      <c r="O6" s="22" t="s">
        <v>49</v>
      </c>
      <c r="P6" s="91" t="s">
        <v>332</v>
      </c>
      <c r="Q6" s="22" t="s">
        <v>52</v>
      </c>
      <c r="R6" s="22" t="s">
        <v>53</v>
      </c>
      <c r="S6" s="22" t="s">
        <v>54</v>
      </c>
      <c r="T6" s="22" t="s">
        <v>55</v>
      </c>
      <c r="U6" s="22" t="s">
        <v>56</v>
      </c>
      <c r="V6" s="22" t="s">
        <v>57</v>
      </c>
      <c r="W6" s="22" t="s">
        <v>58</v>
      </c>
    </row>
    <row r="7" spans="1:23" ht="63.75" customHeight="1" x14ac:dyDescent="0.2">
      <c r="A7" s="24" t="s">
        <v>59</v>
      </c>
      <c r="B7" s="25" t="s">
        <v>60</v>
      </c>
      <c r="C7" s="25" t="s">
        <v>61</v>
      </c>
      <c r="D7" s="26" t="s">
        <v>18</v>
      </c>
      <c r="E7" s="27" t="s">
        <v>62</v>
      </c>
      <c r="F7" s="27"/>
      <c r="G7" s="27" t="s">
        <v>63</v>
      </c>
      <c r="H7" s="27"/>
      <c r="I7" s="27"/>
      <c r="J7" s="27"/>
      <c r="K7" s="27" t="s">
        <v>64</v>
      </c>
      <c r="L7" s="27" t="s">
        <v>65</v>
      </c>
      <c r="M7" s="25" t="s">
        <v>66</v>
      </c>
      <c r="N7" s="25" t="s">
        <v>67</v>
      </c>
      <c r="O7" s="25" t="s">
        <v>68</v>
      </c>
      <c r="P7" s="92" t="s">
        <v>333</v>
      </c>
      <c r="Q7" s="25" t="s">
        <v>69</v>
      </c>
      <c r="R7" s="25" t="s">
        <v>70</v>
      </c>
      <c r="S7" s="25" t="s">
        <v>71</v>
      </c>
      <c r="T7" s="28" t="s">
        <v>72</v>
      </c>
      <c r="U7" s="25" t="s">
        <v>73</v>
      </c>
      <c r="V7" s="25" t="s">
        <v>74</v>
      </c>
      <c r="W7" s="25" t="s">
        <v>75</v>
      </c>
    </row>
    <row r="8" spans="1:23" ht="63.75" customHeight="1" x14ac:dyDescent="0.2">
      <c r="A8" s="24" t="s">
        <v>76</v>
      </c>
      <c r="B8" s="25" t="s">
        <v>77</v>
      </c>
      <c r="C8" s="25" t="s">
        <v>78</v>
      </c>
      <c r="D8" s="26" t="s">
        <v>18</v>
      </c>
      <c r="E8" s="27" t="s">
        <v>79</v>
      </c>
      <c r="F8" s="27"/>
      <c r="G8" s="27" t="s">
        <v>63</v>
      </c>
      <c r="H8" s="27"/>
      <c r="I8" s="27"/>
      <c r="J8" s="27"/>
      <c r="K8" s="27" t="s">
        <v>80</v>
      </c>
      <c r="L8" s="27" t="s">
        <v>81</v>
      </c>
      <c r="M8" s="25" t="s">
        <v>82</v>
      </c>
      <c r="N8" s="25" t="s">
        <v>83</v>
      </c>
      <c r="O8" s="25" t="s">
        <v>84</v>
      </c>
      <c r="P8" s="92" t="s">
        <v>333</v>
      </c>
      <c r="Q8" s="25" t="s">
        <v>85</v>
      </c>
      <c r="R8" s="25" t="s">
        <v>70</v>
      </c>
      <c r="S8" s="25" t="s">
        <v>71</v>
      </c>
      <c r="T8" s="28" t="s">
        <v>72</v>
      </c>
      <c r="U8" s="25" t="s">
        <v>73</v>
      </c>
      <c r="V8" s="25" t="s">
        <v>74</v>
      </c>
      <c r="W8" s="25" t="s">
        <v>86</v>
      </c>
    </row>
    <row r="9" spans="1:23" ht="63.75" customHeight="1" x14ac:dyDescent="0.2">
      <c r="A9" s="24" t="s">
        <v>87</v>
      </c>
      <c r="B9" s="25" t="s">
        <v>88</v>
      </c>
      <c r="C9" s="25" t="s">
        <v>89</v>
      </c>
      <c r="D9" s="29" t="s">
        <v>316</v>
      </c>
      <c r="E9" s="27" t="s">
        <v>62</v>
      </c>
      <c r="F9" s="27"/>
      <c r="G9" s="27" t="s">
        <v>63</v>
      </c>
      <c r="H9" s="27"/>
      <c r="I9" s="27"/>
      <c r="J9" s="27"/>
      <c r="K9" s="27" t="s">
        <v>90</v>
      </c>
      <c r="L9" s="27" t="s">
        <v>65</v>
      </c>
      <c r="M9" s="25" t="s">
        <v>91</v>
      </c>
      <c r="N9" s="25" t="s">
        <v>92</v>
      </c>
      <c r="O9" s="25" t="s">
        <v>93</v>
      </c>
      <c r="P9" s="92" t="s">
        <v>333</v>
      </c>
      <c r="Q9" s="25" t="s">
        <v>94</v>
      </c>
      <c r="R9" s="25" t="s">
        <v>95</v>
      </c>
      <c r="S9" s="25" t="s">
        <v>96</v>
      </c>
      <c r="T9" s="28" t="s">
        <v>72</v>
      </c>
      <c r="U9" s="25" t="s">
        <v>73</v>
      </c>
      <c r="V9" s="25" t="s">
        <v>97</v>
      </c>
      <c r="W9" s="25" t="s">
        <v>98</v>
      </c>
    </row>
    <row r="10" spans="1:23" ht="63.75" customHeight="1" x14ac:dyDescent="0.2">
      <c r="A10" s="24" t="s">
        <v>99</v>
      </c>
      <c r="B10" s="25" t="s">
        <v>100</v>
      </c>
      <c r="C10" s="25" t="s">
        <v>101</v>
      </c>
      <c r="D10" s="29" t="s">
        <v>316</v>
      </c>
      <c r="E10" s="27" t="s">
        <v>62</v>
      </c>
      <c r="F10" s="27"/>
      <c r="G10" s="27" t="s">
        <v>63</v>
      </c>
      <c r="H10" s="27"/>
      <c r="I10" s="27"/>
      <c r="J10" s="27"/>
      <c r="K10" s="27" t="s">
        <v>102</v>
      </c>
      <c r="L10" s="27" t="s">
        <v>65</v>
      </c>
      <c r="M10" s="25" t="s">
        <v>103</v>
      </c>
      <c r="N10" s="25" t="s">
        <v>104</v>
      </c>
      <c r="O10" s="25" t="s">
        <v>105</v>
      </c>
      <c r="P10" s="92" t="s">
        <v>333</v>
      </c>
      <c r="Q10" s="25" t="s">
        <v>106</v>
      </c>
      <c r="R10" s="25" t="s">
        <v>107</v>
      </c>
      <c r="S10" s="25" t="s">
        <v>108</v>
      </c>
      <c r="T10" s="28" t="s">
        <v>72</v>
      </c>
      <c r="U10" s="25" t="s">
        <v>73</v>
      </c>
      <c r="V10" s="25" t="s">
        <v>109</v>
      </c>
      <c r="W10" s="25" t="s">
        <v>110</v>
      </c>
    </row>
    <row r="11" spans="1:23" ht="63.75" customHeight="1" x14ac:dyDescent="0.2">
      <c r="A11" s="24" t="s">
        <v>111</v>
      </c>
      <c r="B11" s="25" t="s">
        <v>112</v>
      </c>
      <c r="C11" s="25" t="s">
        <v>113</v>
      </c>
      <c r="D11" s="30" t="s">
        <v>325</v>
      </c>
      <c r="E11" s="27" t="s">
        <v>62</v>
      </c>
      <c r="F11" s="27"/>
      <c r="G11" s="27" t="s">
        <v>114</v>
      </c>
      <c r="H11" s="27"/>
      <c r="I11" s="27"/>
      <c r="J11" s="27"/>
      <c r="K11" s="27" t="s">
        <v>115</v>
      </c>
      <c r="L11" s="27" t="s">
        <v>116</v>
      </c>
      <c r="M11" s="25" t="s">
        <v>117</v>
      </c>
      <c r="N11" s="25" t="s">
        <v>118</v>
      </c>
      <c r="O11" s="25" t="s">
        <v>119</v>
      </c>
      <c r="P11" s="92" t="s">
        <v>333</v>
      </c>
      <c r="Q11" s="25" t="s">
        <v>120</v>
      </c>
      <c r="R11" s="25" t="s">
        <v>121</v>
      </c>
      <c r="S11" s="25" t="s">
        <v>122</v>
      </c>
      <c r="T11" s="28" t="s">
        <v>72</v>
      </c>
      <c r="U11" s="25" t="s">
        <v>73</v>
      </c>
      <c r="V11" s="25" t="s">
        <v>123</v>
      </c>
      <c r="W11" s="25" t="s">
        <v>124</v>
      </c>
    </row>
    <row r="12" spans="1:23" ht="63.75" customHeight="1" x14ac:dyDescent="0.2">
      <c r="A12" s="24" t="s">
        <v>125</v>
      </c>
      <c r="B12" s="25" t="s">
        <v>126</v>
      </c>
      <c r="C12" s="25" t="s">
        <v>127</v>
      </c>
      <c r="D12" s="31" t="s">
        <v>320</v>
      </c>
      <c r="E12" s="27" t="s">
        <v>128</v>
      </c>
      <c r="F12" s="27"/>
      <c r="G12" s="27" t="s">
        <v>80</v>
      </c>
      <c r="H12" s="27"/>
      <c r="I12" s="27"/>
      <c r="J12" s="27"/>
      <c r="K12" s="27" t="s">
        <v>80</v>
      </c>
      <c r="L12" s="27" t="s">
        <v>65</v>
      </c>
      <c r="M12" s="25" t="s">
        <v>129</v>
      </c>
      <c r="N12" s="25" t="s">
        <v>130</v>
      </c>
      <c r="O12" s="25" t="s">
        <v>131</v>
      </c>
      <c r="P12" s="92" t="s">
        <v>333</v>
      </c>
      <c r="Q12" s="25" t="s">
        <v>132</v>
      </c>
      <c r="R12" s="25" t="s">
        <v>133</v>
      </c>
      <c r="S12" s="25" t="s">
        <v>134</v>
      </c>
      <c r="T12" s="28" t="s">
        <v>72</v>
      </c>
      <c r="U12" s="25" t="s">
        <v>73</v>
      </c>
      <c r="V12" s="25" t="s">
        <v>135</v>
      </c>
      <c r="W12" s="25" t="s">
        <v>136</v>
      </c>
    </row>
    <row r="13" spans="1:23" ht="63.75" customHeight="1" x14ac:dyDescent="0.2">
      <c r="A13" s="24" t="s">
        <v>137</v>
      </c>
      <c r="B13" s="25" t="s">
        <v>138</v>
      </c>
      <c r="C13" s="25" t="s">
        <v>139</v>
      </c>
      <c r="D13" s="31" t="s">
        <v>320</v>
      </c>
      <c r="E13" s="27" t="s">
        <v>62</v>
      </c>
      <c r="F13" s="27"/>
      <c r="G13" s="27" t="s">
        <v>63</v>
      </c>
      <c r="H13" s="27"/>
      <c r="I13" s="27"/>
      <c r="J13" s="27"/>
      <c r="K13" s="27" t="s">
        <v>140</v>
      </c>
      <c r="L13" s="27" t="s">
        <v>65</v>
      </c>
      <c r="M13" s="25" t="s">
        <v>141</v>
      </c>
      <c r="N13" s="25" t="s">
        <v>142</v>
      </c>
      <c r="O13" s="25" t="s">
        <v>143</v>
      </c>
      <c r="P13" s="92" t="s">
        <v>333</v>
      </c>
      <c r="Q13" s="25" t="s">
        <v>144</v>
      </c>
      <c r="R13" s="25" t="s">
        <v>70</v>
      </c>
      <c r="S13" s="25" t="s">
        <v>145</v>
      </c>
      <c r="T13" s="32" t="s">
        <v>146</v>
      </c>
      <c r="U13" s="25" t="s">
        <v>73</v>
      </c>
      <c r="V13" s="25" t="s">
        <v>147</v>
      </c>
      <c r="W13" s="25" t="s">
        <v>148</v>
      </c>
    </row>
    <row r="14" spans="1:23" ht="55.5" customHeight="1" x14ac:dyDescent="0.2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55.5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55.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ht="55.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ht="55.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ht="55.5" customHeight="1" x14ac:dyDescent="0.2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ht="55.5" customHeight="1" x14ac:dyDescent="0.2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ht="55.5" customHeight="1" x14ac:dyDescent="0.2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ht="55.5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ht="55.5" customHeight="1" x14ac:dyDescent="0.2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1:23" ht="55.5" customHeight="1" x14ac:dyDescent="0.2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 ht="55.5" customHeight="1" x14ac:dyDescent="0.2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ht="55.5" customHeight="1" x14ac:dyDescent="0.2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ht="55.5" customHeight="1" x14ac:dyDescent="0.2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55.5" customHeight="1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ht="55.5" customHeight="1" x14ac:dyDescent="0.2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 ht="55.5" customHeight="1" x14ac:dyDescent="0.2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1:23" ht="55.5" customHeight="1" x14ac:dyDescent="0.2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 ht="55.5" customHeight="1" x14ac:dyDescent="0.2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 ht="55.5" customHeight="1" x14ac:dyDescent="0.2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1:23" ht="55.5" customHeight="1" x14ac:dyDescent="0.2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 ht="55.5" customHeight="1" x14ac:dyDescent="0.2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 ht="55.5" customHeight="1" x14ac:dyDescent="0.2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 ht="55.5" customHeight="1" x14ac:dyDescent="0.2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 ht="55.5" customHeight="1" x14ac:dyDescent="0.2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</sheetData>
  <mergeCells count="7">
    <mergeCell ref="A1:W2"/>
    <mergeCell ref="A3:W3"/>
    <mergeCell ref="A5:C5"/>
    <mergeCell ref="E5:L5"/>
    <mergeCell ref="M5:P5"/>
    <mergeCell ref="Q5:S5"/>
    <mergeCell ref="T5:W5"/>
  </mergeCells>
  <dataValidations count="4">
    <dataValidation type="list" allowBlank="1" errorTitle="Invalid sector" error="Pick one of: WASH · Agriculture · Ecosystem · Preparedness" sqref="D35:D38" xr:uid="{00000000-0002-0000-0100-000000000000}">
      <formula1>"WASH,Agriculture,Ecosystem,Preparedness"</formula1>
      <formula2>0</formula2>
    </dataValidation>
    <dataValidation type="list" allowBlank="1" sqref="E7:F38" xr:uid="{00000000-0002-0000-0100-000001000000}">
      <formula1>"D0+,D1+,D2+,D3+,D4+,—"</formula1>
      <formula2>0</formula2>
    </dataValidation>
    <dataValidation type="list" allowBlank="1" sqref="P7:P38" xr:uid="{00000000-0002-0000-0100-000002000000}">
      <formula1>"Immediate,This month,Monitor"</formula1>
      <formula2>0</formula2>
    </dataValidation>
    <dataValidation type="list" allowBlank="1" sqref="T7:T38" xr:uid="{00000000-0002-0000-0100-000004000000}">
      <formula1>"Draft,Review,Approved,Active,Archived"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ector" error="Pick one of: WASH · Agriculture · Ecosystem · Preparedness" xr:uid="{A0595B11-E608-924E-9120-CA12FB43B1FF}">
          <x14:formula1>
            <xm:f>'Sector reference'!$A$5:$A$12</xm:f>
          </x14:formula1>
          <xm:sqref>D7:D34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zoomScaleNormal="100" workbookViewId="0">
      <selection sqref="A1:F2"/>
    </sheetView>
  </sheetViews>
  <sheetFormatPr baseColWidth="10" defaultColWidth="8.6640625" defaultRowHeight="15" x14ac:dyDescent="0.2"/>
  <cols>
    <col min="1" max="6" width="18" customWidth="1"/>
  </cols>
  <sheetData>
    <row r="1" spans="1:6" ht="21.75" customHeight="1" x14ac:dyDescent="0.2">
      <c r="A1" s="12" t="s">
        <v>149</v>
      </c>
      <c r="B1" s="12"/>
      <c r="C1" s="12"/>
      <c r="D1" s="12"/>
      <c r="E1" s="12"/>
      <c r="F1" s="12"/>
    </row>
    <row r="2" spans="1:6" ht="15.75" customHeight="1" x14ac:dyDescent="0.2">
      <c r="A2" s="12"/>
      <c r="B2" s="12"/>
      <c r="C2" s="12"/>
      <c r="D2" s="12"/>
      <c r="E2" s="12"/>
      <c r="F2" s="12"/>
    </row>
    <row r="3" spans="1:6" ht="18" customHeight="1" x14ac:dyDescent="0.2">
      <c r="A3" s="6" t="s">
        <v>150</v>
      </c>
      <c r="B3" s="6"/>
      <c r="C3" s="6"/>
      <c r="D3" s="6"/>
      <c r="E3" s="6"/>
      <c r="F3" s="6"/>
    </row>
    <row r="5" spans="1:6" ht="21.75" customHeight="1" x14ac:dyDescent="0.2">
      <c r="A5" s="46" t="s">
        <v>35</v>
      </c>
      <c r="B5" s="46"/>
      <c r="C5" s="46"/>
      <c r="D5" s="46"/>
      <c r="E5" s="46"/>
      <c r="F5" s="46"/>
    </row>
    <row r="6" spans="1:6" ht="21.75" customHeight="1" x14ac:dyDescent="0.2">
      <c r="A6" s="47" t="s">
        <v>41</v>
      </c>
      <c r="B6" s="47"/>
      <c r="C6" s="48"/>
      <c r="D6" s="48"/>
      <c r="E6" s="48"/>
      <c r="F6" s="48"/>
    </row>
    <row r="7" spans="1:6" ht="21.75" customHeight="1" x14ac:dyDescent="0.2">
      <c r="A7" s="47" t="s">
        <v>42</v>
      </c>
      <c r="B7" s="47"/>
      <c r="C7" s="48"/>
      <c r="D7" s="48"/>
      <c r="E7" s="48"/>
      <c r="F7" s="48"/>
    </row>
    <row r="8" spans="1:6" ht="49.5" customHeight="1" x14ac:dyDescent="0.2">
      <c r="A8" s="47" t="s">
        <v>43</v>
      </c>
      <c r="B8" s="47"/>
      <c r="C8" s="48"/>
      <c r="D8" s="48"/>
      <c r="E8" s="48"/>
      <c r="F8" s="48"/>
    </row>
    <row r="10" spans="1:6" ht="21.75" customHeight="1" x14ac:dyDescent="0.2">
      <c r="A10" s="46" t="s">
        <v>37</v>
      </c>
      <c r="B10" s="46"/>
      <c r="C10" s="46"/>
      <c r="D10" s="46"/>
      <c r="E10" s="46"/>
      <c r="F10" s="46"/>
    </row>
    <row r="11" spans="1:6" ht="21.75" customHeight="1" x14ac:dyDescent="0.2">
      <c r="A11" s="47" t="s">
        <v>16</v>
      </c>
      <c r="B11" s="47"/>
      <c r="C11" s="48"/>
      <c r="D11" s="48"/>
      <c r="E11" s="48"/>
      <c r="F11" s="48"/>
    </row>
    <row r="12" spans="1:6" ht="21.75" customHeight="1" x14ac:dyDescent="0.2">
      <c r="A12" s="49" t="s">
        <v>151</v>
      </c>
      <c r="B12" s="49"/>
      <c r="C12" s="48"/>
      <c r="D12" s="48"/>
      <c r="E12" s="48"/>
      <c r="F12" s="48"/>
    </row>
    <row r="13" spans="1:6" ht="21.75" customHeight="1" x14ac:dyDescent="0.2">
      <c r="A13" s="49" t="s">
        <v>152</v>
      </c>
      <c r="B13" s="49"/>
      <c r="C13" s="48"/>
      <c r="D13" s="48"/>
      <c r="E13" s="48"/>
      <c r="F13" s="48"/>
    </row>
    <row r="14" spans="1:6" ht="21.75" customHeight="1" x14ac:dyDescent="0.2">
      <c r="A14" s="49" t="s">
        <v>153</v>
      </c>
      <c r="B14" s="49"/>
      <c r="C14" s="48"/>
      <c r="D14" s="48"/>
      <c r="E14" s="48"/>
      <c r="F14" s="48"/>
    </row>
    <row r="15" spans="1:6" ht="31.5" customHeight="1" x14ac:dyDescent="0.2">
      <c r="A15" s="49" t="s">
        <v>154</v>
      </c>
      <c r="B15" s="49"/>
      <c r="C15" s="48"/>
      <c r="D15" s="48"/>
      <c r="E15" s="48"/>
      <c r="F15" s="48"/>
    </row>
    <row r="17" spans="1:6" ht="21.75" customHeight="1" x14ac:dyDescent="0.2">
      <c r="A17" s="46" t="s">
        <v>38</v>
      </c>
      <c r="B17" s="46"/>
      <c r="C17" s="46"/>
      <c r="D17" s="46"/>
      <c r="E17" s="46"/>
      <c r="F17" s="46"/>
    </row>
    <row r="18" spans="1:6" ht="21.75" customHeight="1" x14ac:dyDescent="0.2">
      <c r="A18" s="47" t="s">
        <v>155</v>
      </c>
      <c r="B18" s="47"/>
      <c r="C18" s="48"/>
      <c r="D18" s="48"/>
      <c r="E18" s="48"/>
      <c r="F18" s="48"/>
    </row>
    <row r="19" spans="1:6" ht="31.5" customHeight="1" x14ac:dyDescent="0.2">
      <c r="A19" s="47" t="s">
        <v>48</v>
      </c>
      <c r="B19" s="47"/>
      <c r="C19" s="48"/>
      <c r="D19" s="48"/>
      <c r="E19" s="48"/>
      <c r="F19" s="48"/>
    </row>
    <row r="20" spans="1:6" ht="31.5" customHeight="1" x14ac:dyDescent="0.2">
      <c r="A20" s="47" t="s">
        <v>49</v>
      </c>
      <c r="B20" s="47"/>
      <c r="C20" s="48"/>
      <c r="D20" s="48"/>
      <c r="E20" s="48"/>
      <c r="F20" s="48"/>
    </row>
    <row r="21" spans="1:6" ht="21.75" customHeight="1" x14ac:dyDescent="0.2">
      <c r="A21" s="47" t="s">
        <v>50</v>
      </c>
      <c r="B21" s="47"/>
      <c r="C21" s="48"/>
      <c r="D21" s="48"/>
      <c r="E21" s="48"/>
      <c r="F21" s="48"/>
    </row>
    <row r="22" spans="1:6" ht="21.75" customHeight="1" x14ac:dyDescent="0.2">
      <c r="A22" s="47" t="s">
        <v>51</v>
      </c>
      <c r="B22" s="47"/>
      <c r="C22" s="48"/>
      <c r="D22" s="48"/>
      <c r="E22" s="48"/>
      <c r="F22" s="48"/>
    </row>
    <row r="24" spans="1:6" ht="21.75" customHeight="1" x14ac:dyDescent="0.2">
      <c r="A24" s="46" t="s">
        <v>39</v>
      </c>
      <c r="B24" s="46"/>
      <c r="C24" s="46"/>
      <c r="D24" s="46"/>
      <c r="E24" s="46"/>
      <c r="F24" s="46"/>
    </row>
    <row r="25" spans="1:6" ht="27.75" customHeight="1" x14ac:dyDescent="0.2">
      <c r="A25" s="47" t="s">
        <v>156</v>
      </c>
      <c r="B25" s="47"/>
      <c r="C25" s="48"/>
      <c r="D25" s="48"/>
      <c r="E25" s="48"/>
      <c r="F25" s="48"/>
    </row>
    <row r="26" spans="1:6" ht="21.75" customHeight="1" x14ac:dyDescent="0.2">
      <c r="A26" s="47" t="s">
        <v>53</v>
      </c>
      <c r="B26" s="47"/>
      <c r="C26" s="48"/>
      <c r="D26" s="48"/>
      <c r="E26" s="48"/>
      <c r="F26" s="48"/>
    </row>
    <row r="27" spans="1:6" ht="21.75" customHeight="1" x14ac:dyDescent="0.2">
      <c r="A27" s="47" t="s">
        <v>157</v>
      </c>
      <c r="B27" s="47"/>
      <c r="C27" s="48"/>
      <c r="D27" s="48"/>
      <c r="E27" s="48"/>
      <c r="F27" s="48"/>
    </row>
    <row r="28" spans="1:6" ht="31.5" customHeight="1" x14ac:dyDescent="0.2">
      <c r="A28" s="47" t="s">
        <v>158</v>
      </c>
      <c r="B28" s="47"/>
      <c r="C28" s="48"/>
      <c r="D28" s="48"/>
      <c r="E28" s="48"/>
      <c r="F28" s="48"/>
    </row>
    <row r="29" spans="1:6" ht="31.5" customHeight="1" x14ac:dyDescent="0.2">
      <c r="A29" s="47" t="s">
        <v>159</v>
      </c>
      <c r="B29" s="47"/>
      <c r="C29" s="48"/>
      <c r="D29" s="48"/>
      <c r="E29" s="48"/>
      <c r="F29" s="48"/>
    </row>
    <row r="30" spans="1:6" ht="39.75" customHeight="1" x14ac:dyDescent="0.2">
      <c r="A30" s="47" t="s">
        <v>160</v>
      </c>
      <c r="B30" s="47"/>
      <c r="C30" s="48"/>
      <c r="D30" s="48"/>
      <c r="E30" s="48"/>
      <c r="F30" s="48"/>
    </row>
    <row r="32" spans="1:6" ht="21.75" customHeight="1" x14ac:dyDescent="0.2">
      <c r="A32" s="46" t="s">
        <v>40</v>
      </c>
      <c r="B32" s="46"/>
      <c r="C32" s="46"/>
      <c r="D32" s="46"/>
      <c r="E32" s="46"/>
      <c r="F32" s="46"/>
    </row>
    <row r="33" spans="1:6" ht="21.75" customHeight="1" x14ac:dyDescent="0.2">
      <c r="A33" s="47" t="s">
        <v>55</v>
      </c>
      <c r="B33" s="47"/>
      <c r="C33" s="48"/>
      <c r="D33" s="48"/>
      <c r="E33" s="48"/>
      <c r="F33" s="48"/>
    </row>
    <row r="34" spans="1:6" ht="21.75" customHeight="1" x14ac:dyDescent="0.2">
      <c r="A34" s="47" t="s">
        <v>161</v>
      </c>
      <c r="B34" s="47"/>
      <c r="C34" s="48"/>
      <c r="D34" s="48"/>
      <c r="E34" s="48"/>
      <c r="F34" s="48"/>
    </row>
    <row r="35" spans="1:6" ht="21.75" customHeight="1" x14ac:dyDescent="0.2">
      <c r="A35" s="47" t="s">
        <v>57</v>
      </c>
      <c r="B35" s="47"/>
      <c r="C35" s="48"/>
      <c r="D35" s="48"/>
      <c r="E35" s="48"/>
      <c r="F35" s="48"/>
    </row>
    <row r="36" spans="1:6" ht="60" customHeight="1" x14ac:dyDescent="0.2">
      <c r="A36" s="47" t="s">
        <v>162</v>
      </c>
      <c r="B36" s="47"/>
      <c r="C36" s="48"/>
      <c r="D36" s="48"/>
      <c r="E36" s="48"/>
      <c r="F36" s="48"/>
    </row>
    <row r="38" spans="1:6" ht="25.5" customHeight="1" x14ac:dyDescent="0.2">
      <c r="A38" s="50" t="s">
        <v>163</v>
      </c>
      <c r="B38" s="50"/>
      <c r="C38" s="50"/>
      <c r="D38" s="50"/>
      <c r="E38" s="50"/>
      <c r="F38" s="50"/>
    </row>
  </sheetData>
  <mergeCells count="54">
    <mergeCell ref="A35:B35"/>
    <mergeCell ref="C35:F35"/>
    <mergeCell ref="A36:B36"/>
    <mergeCell ref="C36:F36"/>
    <mergeCell ref="A38:F38"/>
    <mergeCell ref="A32:F32"/>
    <mergeCell ref="A33:B33"/>
    <mergeCell ref="C33:F33"/>
    <mergeCell ref="A34:B34"/>
    <mergeCell ref="C34:F34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1:B21"/>
    <mergeCell ref="C21:F21"/>
    <mergeCell ref="A22:B22"/>
    <mergeCell ref="C22:F22"/>
    <mergeCell ref="A24:F24"/>
    <mergeCell ref="A18:B18"/>
    <mergeCell ref="C18:F18"/>
    <mergeCell ref="A19:B19"/>
    <mergeCell ref="C19:F19"/>
    <mergeCell ref="A20:B20"/>
    <mergeCell ref="C20:F20"/>
    <mergeCell ref="A14:B14"/>
    <mergeCell ref="C14:F14"/>
    <mergeCell ref="A15:B15"/>
    <mergeCell ref="C15:F15"/>
    <mergeCell ref="A17:F17"/>
    <mergeCell ref="A11:B11"/>
    <mergeCell ref="C11:F11"/>
    <mergeCell ref="A12:B12"/>
    <mergeCell ref="C12:F12"/>
    <mergeCell ref="A13:B13"/>
    <mergeCell ref="C13:F13"/>
    <mergeCell ref="A7:B7"/>
    <mergeCell ref="C7:F7"/>
    <mergeCell ref="A8:B8"/>
    <mergeCell ref="C8:F8"/>
    <mergeCell ref="A10:F10"/>
    <mergeCell ref="A1:F2"/>
    <mergeCell ref="A3:F3"/>
    <mergeCell ref="A5:F5"/>
    <mergeCell ref="A6:B6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zoomScaleNormal="100" workbookViewId="0">
      <selection activeCell="A6" sqref="A5:A12"/>
    </sheetView>
  </sheetViews>
  <sheetFormatPr baseColWidth="10" defaultColWidth="8.6640625" defaultRowHeight="15" x14ac:dyDescent="0.2"/>
  <cols>
    <col min="1" max="1" width="31.6640625" customWidth="1"/>
    <col min="2" max="2" width="34" customWidth="1"/>
    <col min="3" max="3" width="40" customWidth="1"/>
    <col min="4" max="4" width="46" customWidth="1"/>
    <col min="5" max="5" width="40" customWidth="1"/>
  </cols>
  <sheetData>
    <row r="1" spans="1:5" ht="21.75" customHeight="1" x14ac:dyDescent="0.2">
      <c r="A1" s="33" t="s">
        <v>164</v>
      </c>
    </row>
    <row r="2" spans="1:5" ht="60" customHeight="1" x14ac:dyDescent="0.2">
      <c r="A2" s="51" t="s">
        <v>165</v>
      </c>
      <c r="B2" s="51"/>
      <c r="C2" s="51"/>
      <c r="D2" s="51"/>
    </row>
    <row r="3" spans="1:5" ht="3" customHeight="1" x14ac:dyDescent="0.2">
      <c r="A3" s="34"/>
    </row>
    <row r="4" spans="1:5" ht="29" customHeight="1" x14ac:dyDescent="0.2">
      <c r="A4" s="87" t="s">
        <v>166</v>
      </c>
      <c r="B4" s="87" t="s">
        <v>167</v>
      </c>
      <c r="C4" s="88" t="s">
        <v>168</v>
      </c>
      <c r="D4" s="87" t="s">
        <v>169</v>
      </c>
    </row>
    <row r="5" spans="1:5" ht="31.5" customHeight="1" x14ac:dyDescent="0.2">
      <c r="A5" s="82" t="s">
        <v>18</v>
      </c>
      <c r="B5" s="71"/>
      <c r="C5" s="66" t="s">
        <v>170</v>
      </c>
      <c r="D5" s="72" t="s">
        <v>171</v>
      </c>
      <c r="E5" s="37"/>
    </row>
    <row r="6" spans="1:5" ht="31.5" customHeight="1" x14ac:dyDescent="0.2">
      <c r="A6" s="83" t="s">
        <v>316</v>
      </c>
      <c r="B6" s="70"/>
      <c r="C6" s="66" t="s">
        <v>172</v>
      </c>
      <c r="D6" s="65" t="s">
        <v>173</v>
      </c>
      <c r="E6" s="38"/>
    </row>
    <row r="7" spans="1:5" ht="31.5" customHeight="1" x14ac:dyDescent="0.2">
      <c r="A7" s="84" t="s">
        <v>324</v>
      </c>
      <c r="B7" s="67"/>
      <c r="C7" s="68" t="s">
        <v>174</v>
      </c>
      <c r="D7" s="69" t="s">
        <v>175</v>
      </c>
      <c r="E7" s="38"/>
    </row>
    <row r="8" spans="1:5" ht="31.5" customHeight="1" x14ac:dyDescent="0.2">
      <c r="A8" s="83" t="s">
        <v>318</v>
      </c>
      <c r="B8" s="64"/>
      <c r="C8" s="66" t="s">
        <v>176</v>
      </c>
      <c r="D8" s="65" t="s">
        <v>177</v>
      </c>
      <c r="E8" s="38"/>
    </row>
    <row r="9" spans="1:5" ht="25" customHeight="1" x14ac:dyDescent="0.2">
      <c r="A9" s="85" t="s">
        <v>325</v>
      </c>
      <c r="B9" s="73"/>
      <c r="C9" s="74"/>
      <c r="D9" s="75"/>
      <c r="E9" s="38"/>
    </row>
    <row r="10" spans="1:5" ht="27" customHeight="1" x14ac:dyDescent="0.2">
      <c r="A10" s="63" t="s">
        <v>321</v>
      </c>
      <c r="B10" s="76"/>
      <c r="C10" s="77"/>
      <c r="D10" s="78"/>
    </row>
    <row r="11" spans="1:5" ht="34" customHeight="1" x14ac:dyDescent="0.2">
      <c r="A11" s="86" t="s">
        <v>322</v>
      </c>
      <c r="B11" s="79"/>
      <c r="C11" s="80"/>
      <c r="D11" s="81"/>
    </row>
    <row r="12" spans="1:5" ht="29" customHeight="1" x14ac:dyDescent="0.2">
      <c r="A12" s="86" t="s">
        <v>320</v>
      </c>
      <c r="B12" s="79"/>
      <c r="C12" s="80"/>
      <c r="D12" s="81"/>
    </row>
    <row r="13" spans="1:5" ht="16" x14ac:dyDescent="0.2">
      <c r="B13" s="62"/>
      <c r="C13" s="62"/>
      <c r="D13" s="62"/>
    </row>
    <row r="14" spans="1:5" ht="16" x14ac:dyDescent="0.2">
      <c r="B14" s="62"/>
      <c r="C14" s="62"/>
      <c r="D14" s="62"/>
    </row>
    <row r="15" spans="1:5" ht="16" x14ac:dyDescent="0.2">
      <c r="B15" s="62"/>
      <c r="C15" s="62"/>
      <c r="D15" s="62"/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4" customWidth="1"/>
    <col min="3" max="3" width="22" customWidth="1"/>
    <col min="4" max="4" width="44" customWidth="1"/>
    <col min="5" max="5" width="34" customWidth="1"/>
    <col min="6" max="6" width="22" customWidth="1"/>
  </cols>
  <sheetData>
    <row r="1" spans="1:6" ht="21.75" customHeight="1" x14ac:dyDescent="0.2">
      <c r="A1" s="33" t="s">
        <v>178</v>
      </c>
    </row>
    <row r="2" spans="1:6" ht="60" customHeight="1" x14ac:dyDescent="0.2">
      <c r="A2" s="51" t="s">
        <v>179</v>
      </c>
      <c r="B2" s="51"/>
      <c r="C2" s="51"/>
      <c r="D2" s="51"/>
      <c r="E2" s="51"/>
      <c r="F2" s="51"/>
    </row>
    <row r="3" spans="1:6" ht="21.75" customHeight="1" x14ac:dyDescent="0.2">
      <c r="A3" s="34"/>
    </row>
    <row r="4" spans="1:6" x14ac:dyDescent="0.2">
      <c r="A4" s="35" t="s">
        <v>180</v>
      </c>
      <c r="B4" s="35" t="s">
        <v>181</v>
      </c>
      <c r="C4" s="35" t="s">
        <v>182</v>
      </c>
      <c r="D4" s="35" t="s">
        <v>43</v>
      </c>
      <c r="E4" s="35" t="s">
        <v>183</v>
      </c>
      <c r="F4" s="35" t="s">
        <v>184</v>
      </c>
    </row>
    <row r="5" spans="1:6" ht="27.75" customHeight="1" x14ac:dyDescent="0.2">
      <c r="A5" s="36" t="s">
        <v>185</v>
      </c>
      <c r="B5" s="36" t="s">
        <v>186</v>
      </c>
      <c r="C5" s="36" t="s">
        <v>187</v>
      </c>
      <c r="D5" s="36" t="s">
        <v>188</v>
      </c>
      <c r="E5" s="36" t="s">
        <v>189</v>
      </c>
      <c r="F5" s="36" t="s">
        <v>190</v>
      </c>
    </row>
    <row r="6" spans="1:6" ht="27.75" customHeight="1" x14ac:dyDescent="0.2">
      <c r="A6" s="36" t="s">
        <v>191</v>
      </c>
      <c r="B6" s="36" t="s">
        <v>192</v>
      </c>
      <c r="C6" s="36" t="s">
        <v>193</v>
      </c>
      <c r="D6" s="36" t="s">
        <v>194</v>
      </c>
      <c r="E6" s="36" t="s">
        <v>195</v>
      </c>
      <c r="F6" s="36" t="s">
        <v>196</v>
      </c>
    </row>
    <row r="7" spans="1:6" ht="27.75" customHeight="1" x14ac:dyDescent="0.2">
      <c r="A7" s="36" t="s">
        <v>197</v>
      </c>
      <c r="B7" s="36" t="s">
        <v>192</v>
      </c>
      <c r="C7" s="36" t="s">
        <v>198</v>
      </c>
      <c r="D7" s="36" t="s">
        <v>199</v>
      </c>
      <c r="E7" s="36" t="s">
        <v>200</v>
      </c>
      <c r="F7" s="36" t="s">
        <v>201</v>
      </c>
    </row>
    <row r="8" spans="1:6" ht="27.75" customHeight="1" x14ac:dyDescent="0.2">
      <c r="A8" s="36" t="s">
        <v>202</v>
      </c>
      <c r="B8" s="36" t="s">
        <v>192</v>
      </c>
      <c r="C8" s="36" t="s">
        <v>203</v>
      </c>
      <c r="D8" s="36" t="s">
        <v>204</v>
      </c>
      <c r="E8" s="36" t="s">
        <v>205</v>
      </c>
      <c r="F8" s="36" t="s">
        <v>206</v>
      </c>
    </row>
    <row r="9" spans="1:6" ht="27.75" customHeight="1" x14ac:dyDescent="0.2">
      <c r="A9" s="36" t="s">
        <v>207</v>
      </c>
      <c r="B9" s="36" t="s">
        <v>208</v>
      </c>
      <c r="C9" s="36" t="s">
        <v>209</v>
      </c>
      <c r="D9" s="36" t="s">
        <v>210</v>
      </c>
      <c r="E9" s="36" t="s">
        <v>211</v>
      </c>
      <c r="F9" s="36" t="s">
        <v>212</v>
      </c>
    </row>
    <row r="10" spans="1:6" ht="27.75" customHeight="1" x14ac:dyDescent="0.2">
      <c r="A10" s="36" t="s">
        <v>213</v>
      </c>
      <c r="B10" s="36" t="s">
        <v>192</v>
      </c>
      <c r="C10" s="36" t="s">
        <v>203</v>
      </c>
      <c r="D10" s="36" t="s">
        <v>214</v>
      </c>
      <c r="E10" s="36" t="s">
        <v>215</v>
      </c>
      <c r="F10" s="36" t="s">
        <v>206</v>
      </c>
    </row>
    <row r="11" spans="1:6" ht="27.75" customHeight="1" x14ac:dyDescent="0.2">
      <c r="A11" s="36" t="s">
        <v>216</v>
      </c>
      <c r="B11" s="36" t="s">
        <v>208</v>
      </c>
      <c r="C11" s="36" t="s">
        <v>217</v>
      </c>
      <c r="D11" s="36" t="s">
        <v>218</v>
      </c>
      <c r="E11" s="36" t="s">
        <v>219</v>
      </c>
      <c r="F11" s="36" t="s">
        <v>220</v>
      </c>
    </row>
    <row r="12" spans="1:6" ht="27.75" customHeight="1" x14ac:dyDescent="0.2">
      <c r="A12" s="36" t="s">
        <v>221</v>
      </c>
      <c r="B12" s="36" t="s">
        <v>192</v>
      </c>
      <c r="C12" s="36" t="s">
        <v>203</v>
      </c>
      <c r="D12" s="36" t="s">
        <v>222</v>
      </c>
      <c r="E12" s="36" t="s">
        <v>223</v>
      </c>
      <c r="F12" s="36" t="s">
        <v>206</v>
      </c>
    </row>
    <row r="13" spans="1:6" ht="27.75" customHeight="1" x14ac:dyDescent="0.2">
      <c r="A13" s="36" t="s">
        <v>224</v>
      </c>
      <c r="B13" s="36" t="s">
        <v>192</v>
      </c>
      <c r="C13" s="36" t="s">
        <v>225</v>
      </c>
      <c r="D13" s="36" t="s">
        <v>226</v>
      </c>
      <c r="E13" s="36" t="s">
        <v>227</v>
      </c>
      <c r="F13" s="36" t="s">
        <v>225</v>
      </c>
    </row>
    <row r="14" spans="1:6" ht="27.75" customHeight="1" x14ac:dyDescent="0.2">
      <c r="A14" s="36" t="s">
        <v>228</v>
      </c>
      <c r="B14" s="36" t="s">
        <v>192</v>
      </c>
      <c r="C14" s="36" t="s">
        <v>203</v>
      </c>
      <c r="D14" s="36" t="s">
        <v>229</v>
      </c>
      <c r="E14" s="36" t="s">
        <v>230</v>
      </c>
      <c r="F14" s="36" t="s">
        <v>225</v>
      </c>
    </row>
    <row r="15" spans="1:6" ht="27.75" customHeight="1" x14ac:dyDescent="0.2">
      <c r="A15" s="36" t="s">
        <v>231</v>
      </c>
      <c r="B15" s="36" t="s">
        <v>192</v>
      </c>
      <c r="C15" s="36" t="s">
        <v>203</v>
      </c>
      <c r="D15" s="36" t="s">
        <v>232</v>
      </c>
      <c r="E15" s="36" t="s">
        <v>233</v>
      </c>
      <c r="F15" s="36" t="s">
        <v>206</v>
      </c>
    </row>
    <row r="16" spans="1:6" ht="27.75" customHeight="1" x14ac:dyDescent="0.2">
      <c r="A16" s="36" t="s">
        <v>234</v>
      </c>
      <c r="B16" s="36" t="s">
        <v>208</v>
      </c>
      <c r="C16" s="36" t="s">
        <v>235</v>
      </c>
      <c r="D16" s="36" t="s">
        <v>236</v>
      </c>
      <c r="E16" s="36" t="s">
        <v>237</v>
      </c>
      <c r="F16" s="36" t="s">
        <v>238</v>
      </c>
    </row>
    <row r="17" spans="1:6" ht="27.75" customHeight="1" x14ac:dyDescent="0.2">
      <c r="A17" s="36" t="s">
        <v>239</v>
      </c>
      <c r="B17" s="36" t="s">
        <v>192</v>
      </c>
      <c r="C17" s="36" t="s">
        <v>240</v>
      </c>
      <c r="D17" s="36" t="s">
        <v>241</v>
      </c>
      <c r="E17" s="36" t="s">
        <v>242</v>
      </c>
      <c r="F17" s="36" t="s">
        <v>206</v>
      </c>
    </row>
    <row r="18" spans="1:6" ht="27.75" customHeight="1" x14ac:dyDescent="0.2">
      <c r="A18" s="36" t="s">
        <v>243</v>
      </c>
      <c r="B18" s="36" t="s">
        <v>192</v>
      </c>
      <c r="C18" s="36" t="s">
        <v>203</v>
      </c>
      <c r="D18" s="36" t="s">
        <v>244</v>
      </c>
      <c r="E18" s="36" t="s">
        <v>245</v>
      </c>
      <c r="F18" s="36" t="s">
        <v>246</v>
      </c>
    </row>
    <row r="19" spans="1:6" ht="27.75" customHeight="1" x14ac:dyDescent="0.2">
      <c r="A19" s="36" t="s">
        <v>247</v>
      </c>
      <c r="B19" s="36" t="s">
        <v>186</v>
      </c>
      <c r="C19" s="36" t="s">
        <v>248</v>
      </c>
      <c r="D19" s="36" t="s">
        <v>249</v>
      </c>
      <c r="E19" s="36" t="s">
        <v>250</v>
      </c>
      <c r="F19" s="36" t="s">
        <v>251</v>
      </c>
    </row>
    <row r="20" spans="1:6" ht="27.75" customHeight="1" x14ac:dyDescent="0.2">
      <c r="A20" s="36" t="s">
        <v>252</v>
      </c>
      <c r="B20" s="36" t="s">
        <v>208</v>
      </c>
      <c r="C20" s="36" t="s">
        <v>253</v>
      </c>
      <c r="D20" s="36" t="s">
        <v>254</v>
      </c>
      <c r="E20" s="36" t="s">
        <v>255</v>
      </c>
      <c r="F20" s="36" t="s">
        <v>256</v>
      </c>
    </row>
    <row r="21" spans="1:6" ht="27.75" customHeight="1" x14ac:dyDescent="0.2">
      <c r="A21" s="36" t="s">
        <v>257</v>
      </c>
      <c r="B21" s="36" t="s">
        <v>208</v>
      </c>
      <c r="C21" s="36" t="s">
        <v>258</v>
      </c>
      <c r="D21" s="36" t="s">
        <v>259</v>
      </c>
      <c r="E21" s="36" t="s">
        <v>255</v>
      </c>
      <c r="F21" s="36" t="s">
        <v>260</v>
      </c>
    </row>
    <row r="22" spans="1:6" ht="27.75" customHeight="1" x14ac:dyDescent="0.2">
      <c r="A22" s="36" t="s">
        <v>261</v>
      </c>
      <c r="B22" s="36" t="s">
        <v>208</v>
      </c>
      <c r="C22" s="36" t="s">
        <v>262</v>
      </c>
      <c r="D22" s="36" t="s">
        <v>263</v>
      </c>
      <c r="E22" s="36" t="s">
        <v>255</v>
      </c>
      <c r="F22" s="36" t="s">
        <v>220</v>
      </c>
    </row>
    <row r="23" spans="1:6" ht="27.75" customHeight="1" x14ac:dyDescent="0.2">
      <c r="A23" s="36" t="s">
        <v>264</v>
      </c>
      <c r="B23" s="36" t="s">
        <v>208</v>
      </c>
      <c r="C23" s="36" t="s">
        <v>265</v>
      </c>
      <c r="D23" s="36" t="s">
        <v>266</v>
      </c>
      <c r="E23" s="36" t="s">
        <v>255</v>
      </c>
      <c r="F23" s="36" t="s">
        <v>267</v>
      </c>
    </row>
    <row r="24" spans="1:6" ht="27.75" customHeight="1" x14ac:dyDescent="0.2">
      <c r="A24" s="36" t="s">
        <v>268</v>
      </c>
      <c r="B24" s="36" t="s">
        <v>208</v>
      </c>
      <c r="C24" s="36" t="s">
        <v>269</v>
      </c>
      <c r="D24" s="36" t="s">
        <v>270</v>
      </c>
      <c r="E24" s="36" t="s">
        <v>255</v>
      </c>
      <c r="F24" s="36" t="s">
        <v>271</v>
      </c>
    </row>
    <row r="25" spans="1:6" ht="27.75" customHeight="1" x14ac:dyDescent="0.2">
      <c r="A25" s="36" t="s">
        <v>272</v>
      </c>
      <c r="B25" s="36" t="s">
        <v>186</v>
      </c>
      <c r="C25" s="36" t="s">
        <v>273</v>
      </c>
      <c r="D25" s="36" t="s">
        <v>274</v>
      </c>
      <c r="E25" s="36" t="s">
        <v>275</v>
      </c>
      <c r="F25" s="36" t="str">
        <f>"Shiselweni"</f>
        <v>Shiselweni</v>
      </c>
    </row>
    <row r="26" spans="1:6" ht="27.75" customHeight="1" x14ac:dyDescent="0.2">
      <c r="A26" s="36" t="s">
        <v>276</v>
      </c>
      <c r="B26" s="36" t="s">
        <v>186</v>
      </c>
      <c r="C26" s="36" t="s">
        <v>277</v>
      </c>
      <c r="D26" s="36" t="s">
        <v>278</v>
      </c>
      <c r="E26" s="36" t="s">
        <v>279</v>
      </c>
      <c r="F26" s="36" t="str">
        <f>"Lowveld"</f>
        <v>Lowveld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Normal="100" workbookViewId="0"/>
  </sheetViews>
  <sheetFormatPr baseColWidth="10" defaultColWidth="8.6640625" defaultRowHeight="15" x14ac:dyDescent="0.2"/>
  <cols>
    <col min="1" max="1" width="14" customWidth="1"/>
    <col min="2" max="2" width="38" customWidth="1"/>
    <col min="3" max="3" width="28" customWidth="1"/>
    <col min="4" max="4" width="22" customWidth="1"/>
    <col min="5" max="5" width="18" customWidth="1"/>
  </cols>
  <sheetData>
    <row r="1" spans="1:5" ht="21.75" customHeight="1" x14ac:dyDescent="0.2">
      <c r="A1" s="12" t="s">
        <v>280</v>
      </c>
      <c r="B1" s="12"/>
      <c r="C1" s="12"/>
      <c r="D1" s="12"/>
      <c r="E1" s="12"/>
    </row>
    <row r="2" spans="1:5" ht="15.75" customHeight="1" x14ac:dyDescent="0.2">
      <c r="A2" s="12"/>
      <c r="B2" s="12"/>
      <c r="C2" s="12"/>
      <c r="D2" s="12"/>
      <c r="E2" s="12"/>
    </row>
    <row r="3" spans="1:5" ht="18" customHeight="1" x14ac:dyDescent="0.2">
      <c r="A3" s="6" t="s">
        <v>281</v>
      </c>
      <c r="B3" s="6"/>
      <c r="C3" s="6"/>
      <c r="D3" s="6"/>
      <c r="E3" s="6"/>
    </row>
    <row r="5" spans="1:5" ht="27.75" customHeight="1" x14ac:dyDescent="0.2">
      <c r="A5" s="22" t="s">
        <v>55</v>
      </c>
      <c r="B5" s="22" t="s">
        <v>282</v>
      </c>
      <c r="C5" s="22" t="s">
        <v>283</v>
      </c>
      <c r="D5" s="22" t="s">
        <v>284</v>
      </c>
      <c r="E5" s="22" t="s">
        <v>285</v>
      </c>
    </row>
    <row r="6" spans="1:5" ht="43.5" customHeight="1" x14ac:dyDescent="0.2">
      <c r="A6" s="39" t="s">
        <v>286</v>
      </c>
      <c r="B6" s="25" t="s">
        <v>287</v>
      </c>
      <c r="C6" s="25" t="s">
        <v>288</v>
      </c>
      <c r="D6" s="25" t="s">
        <v>289</v>
      </c>
      <c r="E6" s="25" t="s">
        <v>290</v>
      </c>
    </row>
    <row r="7" spans="1:5" ht="43.5" customHeight="1" x14ac:dyDescent="0.2">
      <c r="A7" s="40" t="s">
        <v>291</v>
      </c>
      <c r="B7" s="25" t="s">
        <v>292</v>
      </c>
      <c r="C7" s="25" t="s">
        <v>3</v>
      </c>
      <c r="D7" s="25" t="s">
        <v>293</v>
      </c>
      <c r="E7" s="25" t="s">
        <v>290</v>
      </c>
    </row>
    <row r="8" spans="1:5" ht="43.5" customHeight="1" x14ac:dyDescent="0.2">
      <c r="A8" s="41" t="s">
        <v>146</v>
      </c>
      <c r="B8" s="25" t="s">
        <v>294</v>
      </c>
      <c r="C8" s="25" t="s">
        <v>295</v>
      </c>
      <c r="D8" s="25" t="s">
        <v>296</v>
      </c>
      <c r="E8" s="25" t="s">
        <v>297</v>
      </c>
    </row>
    <row r="9" spans="1:5" ht="43.5" customHeight="1" x14ac:dyDescent="0.2">
      <c r="A9" s="42" t="s">
        <v>72</v>
      </c>
      <c r="B9" s="25" t="s">
        <v>298</v>
      </c>
      <c r="C9" s="25" t="s">
        <v>3</v>
      </c>
      <c r="D9" s="25" t="s">
        <v>299</v>
      </c>
      <c r="E9" s="25" t="s">
        <v>300</v>
      </c>
    </row>
    <row r="10" spans="1:5" ht="43.5" customHeight="1" x14ac:dyDescent="0.2">
      <c r="A10" s="43" t="s">
        <v>301</v>
      </c>
      <c r="B10" s="25" t="s">
        <v>302</v>
      </c>
      <c r="C10" s="25" t="s">
        <v>3</v>
      </c>
      <c r="D10" s="25" t="s">
        <v>303</v>
      </c>
      <c r="E10" s="25" t="s">
        <v>304</v>
      </c>
    </row>
    <row r="12" spans="1:5" ht="24" customHeight="1" x14ac:dyDescent="0.2">
      <c r="A12" s="13" t="s">
        <v>305</v>
      </c>
    </row>
    <row r="13" spans="1:5" ht="25.5" customHeight="1" x14ac:dyDescent="0.2">
      <c r="A13" s="44" t="s">
        <v>20</v>
      </c>
      <c r="B13" s="45" t="s">
        <v>295</v>
      </c>
      <c r="C13" s="10" t="s">
        <v>306</v>
      </c>
      <c r="D13" s="10"/>
      <c r="E13" s="10"/>
    </row>
    <row r="14" spans="1:5" ht="25.5" customHeight="1" x14ac:dyDescent="0.2">
      <c r="A14" s="44" t="s">
        <v>21</v>
      </c>
      <c r="B14" s="45" t="s">
        <v>3</v>
      </c>
      <c r="C14" s="10" t="s">
        <v>307</v>
      </c>
      <c r="D14" s="10"/>
      <c r="E14" s="10"/>
    </row>
    <row r="15" spans="1:5" ht="25.5" customHeight="1" x14ac:dyDescent="0.2">
      <c r="A15" s="44" t="s">
        <v>23</v>
      </c>
      <c r="B15" s="45" t="s">
        <v>308</v>
      </c>
      <c r="C15" s="10" t="s">
        <v>309</v>
      </c>
      <c r="D15" s="10"/>
      <c r="E15" s="10"/>
    </row>
    <row r="16" spans="1:5" ht="25.5" customHeight="1" x14ac:dyDescent="0.2">
      <c r="A16" s="44" t="s">
        <v>25</v>
      </c>
      <c r="B16" s="45" t="s">
        <v>310</v>
      </c>
      <c r="C16" s="10" t="s">
        <v>311</v>
      </c>
      <c r="D16" s="10"/>
      <c r="E16" s="10"/>
    </row>
  </sheetData>
  <mergeCells count="6">
    <mergeCell ref="C16:E16"/>
    <mergeCell ref="A1:E2"/>
    <mergeCell ref="A3:E3"/>
    <mergeCell ref="C13:E13"/>
    <mergeCell ref="C14:E14"/>
    <mergeCell ref="C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RA Inventory</vt:lpstr>
      <vt:lpstr>Single RA Form</vt:lpstr>
      <vt:lpstr>Sector reference</vt:lpstr>
      <vt:lpstr>Trigger fields</vt:lpstr>
      <vt:lpstr>Status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 Lotte Savelberg</cp:lastModifiedBy>
  <cp:revision>0</cp:revision>
  <dcterms:created xsi:type="dcterms:W3CDTF">2026-06-09T13:20:35Z</dcterms:created>
  <dcterms:modified xsi:type="dcterms:W3CDTF">2026-07-24T08:38:08Z</dcterms:modified>
  <dc:language>en-US</dc:language>
</cp:coreProperties>
</file>