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ottesavelberg/Library/CloudStorage/GoogleDrive-lotte@akvo.org/Shared drives/Akvo/04. Operations/Partners_projects/4. East Africa Projects/1. Projects &amp; Partners/1. Ongoing projects/Eswatini Drought Monitoring/2026/Work &amp; Activities/data sources/risk calculation/"/>
    </mc:Choice>
  </mc:AlternateContent>
  <xr:revisionPtr revIDLastSave="0" documentId="13_ncr:1_{37A7FF44-D16F-EC4F-A19B-93956D418BCF}" xr6:coauthVersionLast="47" xr6:coauthVersionMax="47" xr10:uidLastSave="{00000000-0000-0000-0000-000000000000}"/>
  <bookViews>
    <workbookView xWindow="0" yWindow="660" windowWidth="29400" windowHeight="16660" tabRatio="500" firstSheet="2" activeTab="9" xr2:uid="{00000000-000D-0000-FFFF-FFFF00000000}"/>
  </bookViews>
  <sheets>
    <sheet name="README" sheetId="1" r:id="rId1"/>
    <sheet name="Methodology" sheetId="2" r:id="rId2"/>
    <sheet name="Inkhundla_master" sheetId="3" r:id="rId3"/>
    <sheet name="Exposure_LandUse" sheetId="4" r:id="rId4"/>
    <sheet name="Exposure_Population" sheetId="5" r:id="rId5"/>
    <sheet name="Exposure_Cattle" sheetId="6" r:id="rId6"/>
    <sheet name="Exposure_WaterDemand" sheetId="7" r:id="rId7"/>
    <sheet name="Vulnerability_IPC" sheetId="8" r:id="rId8"/>
    <sheet name="Hazard_current_cycle" sheetId="9" r:id="rId9"/>
    <sheet name="Risk_expected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10" l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3" i="5"/>
  <c r="I61" i="10"/>
  <c r="G61" i="10"/>
  <c r="F61" i="10"/>
  <c r="E61" i="10"/>
  <c r="D61" i="10"/>
  <c r="I60" i="10"/>
  <c r="G60" i="10"/>
  <c r="F60" i="10"/>
  <c r="E60" i="10"/>
  <c r="D60" i="10"/>
  <c r="I59" i="10"/>
  <c r="G59" i="10"/>
  <c r="F59" i="10"/>
  <c r="E59" i="10"/>
  <c r="D59" i="10"/>
  <c r="I58" i="10"/>
  <c r="G58" i="10"/>
  <c r="F58" i="10"/>
  <c r="E58" i="10"/>
  <c r="D58" i="10"/>
  <c r="I57" i="10"/>
  <c r="G57" i="10"/>
  <c r="F57" i="10"/>
  <c r="E57" i="10"/>
  <c r="D57" i="10"/>
  <c r="I56" i="10"/>
  <c r="G56" i="10"/>
  <c r="F56" i="10"/>
  <c r="E56" i="10"/>
  <c r="D56" i="10"/>
  <c r="I55" i="10"/>
  <c r="G55" i="10"/>
  <c r="F55" i="10"/>
  <c r="E55" i="10"/>
  <c r="D55" i="10"/>
  <c r="I54" i="10"/>
  <c r="G54" i="10"/>
  <c r="F54" i="10"/>
  <c r="E54" i="10"/>
  <c r="D54" i="10"/>
  <c r="I53" i="10"/>
  <c r="G53" i="10"/>
  <c r="F53" i="10"/>
  <c r="E53" i="10"/>
  <c r="D53" i="10"/>
  <c r="I52" i="10"/>
  <c r="G52" i="10"/>
  <c r="F52" i="10"/>
  <c r="E52" i="10"/>
  <c r="D52" i="10"/>
  <c r="I51" i="10"/>
  <c r="G51" i="10"/>
  <c r="F51" i="10"/>
  <c r="E51" i="10"/>
  <c r="D51" i="10"/>
  <c r="I50" i="10"/>
  <c r="G50" i="10"/>
  <c r="F50" i="10"/>
  <c r="E50" i="10"/>
  <c r="D50" i="10"/>
  <c r="I49" i="10"/>
  <c r="G49" i="10"/>
  <c r="F49" i="10"/>
  <c r="E49" i="10"/>
  <c r="D49" i="10"/>
  <c r="I48" i="10"/>
  <c r="G48" i="10"/>
  <c r="F48" i="10"/>
  <c r="E48" i="10"/>
  <c r="D48" i="10"/>
  <c r="I47" i="10"/>
  <c r="G47" i="10"/>
  <c r="F47" i="10"/>
  <c r="E47" i="10"/>
  <c r="D47" i="10"/>
  <c r="I46" i="10"/>
  <c r="G46" i="10"/>
  <c r="F46" i="10"/>
  <c r="E46" i="10"/>
  <c r="D46" i="10"/>
  <c r="I45" i="10"/>
  <c r="G45" i="10"/>
  <c r="F45" i="10"/>
  <c r="E45" i="10"/>
  <c r="D45" i="10"/>
  <c r="I44" i="10"/>
  <c r="G44" i="10"/>
  <c r="F44" i="10"/>
  <c r="E44" i="10"/>
  <c r="D44" i="10"/>
  <c r="I43" i="10"/>
  <c r="G43" i="10"/>
  <c r="F43" i="10"/>
  <c r="E43" i="10"/>
  <c r="D43" i="10"/>
  <c r="I42" i="10"/>
  <c r="G42" i="10"/>
  <c r="F42" i="10"/>
  <c r="E42" i="10"/>
  <c r="D42" i="10"/>
  <c r="I41" i="10"/>
  <c r="G41" i="10"/>
  <c r="F41" i="10"/>
  <c r="E41" i="10"/>
  <c r="D41" i="10"/>
  <c r="I40" i="10"/>
  <c r="G40" i="10"/>
  <c r="F40" i="10"/>
  <c r="E40" i="10"/>
  <c r="D40" i="10"/>
  <c r="I39" i="10"/>
  <c r="G39" i="10"/>
  <c r="F39" i="10"/>
  <c r="E39" i="10"/>
  <c r="D39" i="10"/>
  <c r="I38" i="10"/>
  <c r="G38" i="10"/>
  <c r="F38" i="10"/>
  <c r="E38" i="10"/>
  <c r="D38" i="10"/>
  <c r="I37" i="10"/>
  <c r="G37" i="10"/>
  <c r="F37" i="10"/>
  <c r="E37" i="10"/>
  <c r="D37" i="10"/>
  <c r="I36" i="10"/>
  <c r="G36" i="10"/>
  <c r="F36" i="10"/>
  <c r="E36" i="10"/>
  <c r="D36" i="10"/>
  <c r="I35" i="10"/>
  <c r="G35" i="10"/>
  <c r="F35" i="10"/>
  <c r="E35" i="10"/>
  <c r="D35" i="10"/>
  <c r="I34" i="10"/>
  <c r="G34" i="10"/>
  <c r="F34" i="10"/>
  <c r="E34" i="10"/>
  <c r="D34" i="10"/>
  <c r="I33" i="10"/>
  <c r="G33" i="10"/>
  <c r="F33" i="10"/>
  <c r="E33" i="10"/>
  <c r="D33" i="10"/>
  <c r="I32" i="10"/>
  <c r="G32" i="10"/>
  <c r="F32" i="10"/>
  <c r="E32" i="10"/>
  <c r="D32" i="10"/>
  <c r="I31" i="10"/>
  <c r="G31" i="10"/>
  <c r="F31" i="10"/>
  <c r="E31" i="10"/>
  <c r="D31" i="10"/>
  <c r="I30" i="10"/>
  <c r="G30" i="10"/>
  <c r="F30" i="10"/>
  <c r="E30" i="10"/>
  <c r="D30" i="10"/>
  <c r="I29" i="10"/>
  <c r="G29" i="10"/>
  <c r="F29" i="10"/>
  <c r="E29" i="10"/>
  <c r="D29" i="10"/>
  <c r="I28" i="10"/>
  <c r="G28" i="10"/>
  <c r="F28" i="10"/>
  <c r="E28" i="10"/>
  <c r="D28" i="10"/>
  <c r="I27" i="10"/>
  <c r="G27" i="10"/>
  <c r="F27" i="10"/>
  <c r="E27" i="10"/>
  <c r="D27" i="10"/>
  <c r="I26" i="10"/>
  <c r="G26" i="10"/>
  <c r="F26" i="10"/>
  <c r="E26" i="10"/>
  <c r="D26" i="10"/>
  <c r="I25" i="10"/>
  <c r="G25" i="10"/>
  <c r="F25" i="10"/>
  <c r="E25" i="10"/>
  <c r="D25" i="10"/>
  <c r="I24" i="10"/>
  <c r="G24" i="10"/>
  <c r="F24" i="10"/>
  <c r="E24" i="10"/>
  <c r="D24" i="10"/>
  <c r="I23" i="10"/>
  <c r="G23" i="10"/>
  <c r="F23" i="10"/>
  <c r="E23" i="10"/>
  <c r="D23" i="10"/>
  <c r="I22" i="10"/>
  <c r="G22" i="10"/>
  <c r="F22" i="10"/>
  <c r="E22" i="10"/>
  <c r="D22" i="10"/>
  <c r="I21" i="10"/>
  <c r="G21" i="10"/>
  <c r="F21" i="10"/>
  <c r="E21" i="10"/>
  <c r="D21" i="10"/>
  <c r="I20" i="10"/>
  <c r="G20" i="10"/>
  <c r="F20" i="10"/>
  <c r="E20" i="10"/>
  <c r="D20" i="10"/>
  <c r="I19" i="10"/>
  <c r="G19" i="10"/>
  <c r="F19" i="10"/>
  <c r="E19" i="10"/>
  <c r="D19" i="10"/>
  <c r="I18" i="10"/>
  <c r="G18" i="10"/>
  <c r="F18" i="10"/>
  <c r="E18" i="10"/>
  <c r="D18" i="10"/>
  <c r="I17" i="10"/>
  <c r="G17" i="10"/>
  <c r="F17" i="10"/>
  <c r="E17" i="10"/>
  <c r="D17" i="10"/>
  <c r="I16" i="10"/>
  <c r="G16" i="10"/>
  <c r="F16" i="10"/>
  <c r="E16" i="10"/>
  <c r="D16" i="10"/>
  <c r="I15" i="10"/>
  <c r="G15" i="10"/>
  <c r="F15" i="10"/>
  <c r="E15" i="10"/>
  <c r="D15" i="10"/>
  <c r="I14" i="10"/>
  <c r="G14" i="10"/>
  <c r="F14" i="10"/>
  <c r="E14" i="10"/>
  <c r="D14" i="10"/>
  <c r="I13" i="10"/>
  <c r="G13" i="10"/>
  <c r="F13" i="10"/>
  <c r="E13" i="10"/>
  <c r="D13" i="10"/>
  <c r="I12" i="10"/>
  <c r="G12" i="10"/>
  <c r="F12" i="10"/>
  <c r="E12" i="10"/>
  <c r="D12" i="10"/>
  <c r="I11" i="10"/>
  <c r="G11" i="10"/>
  <c r="F11" i="10"/>
  <c r="E11" i="10"/>
  <c r="D11" i="10"/>
  <c r="I10" i="10"/>
  <c r="G10" i="10"/>
  <c r="F10" i="10"/>
  <c r="E10" i="10"/>
  <c r="D10" i="10"/>
  <c r="I9" i="10"/>
  <c r="G9" i="10"/>
  <c r="F9" i="10"/>
  <c r="E9" i="10"/>
  <c r="D9" i="10"/>
  <c r="I8" i="10"/>
  <c r="G8" i="10"/>
  <c r="F8" i="10"/>
  <c r="E8" i="10"/>
  <c r="D8" i="10"/>
  <c r="I7" i="10"/>
  <c r="G7" i="10"/>
  <c r="F7" i="10"/>
  <c r="E7" i="10"/>
  <c r="D7" i="10"/>
  <c r="I6" i="10"/>
  <c r="G6" i="10"/>
  <c r="F6" i="10"/>
  <c r="E6" i="10"/>
  <c r="D6" i="10"/>
  <c r="I5" i="10"/>
  <c r="G5" i="10"/>
  <c r="F5" i="10"/>
  <c r="E5" i="10"/>
  <c r="D5" i="10"/>
  <c r="I4" i="10"/>
  <c r="G4" i="10"/>
  <c r="F4" i="10"/>
  <c r="E4" i="10"/>
  <c r="D4" i="10"/>
  <c r="I3" i="10"/>
  <c r="G3" i="10"/>
  <c r="F3" i="10"/>
  <c r="E3" i="10"/>
  <c r="D3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H7" i="10" l="1"/>
  <c r="H15" i="10"/>
  <c r="H23" i="10"/>
  <c r="H31" i="10"/>
  <c r="J31" i="10" s="1"/>
  <c r="K31" i="10" s="1"/>
  <c r="H39" i="10"/>
  <c r="J39" i="10" s="1"/>
  <c r="K39" i="10" s="1"/>
  <c r="H47" i="10"/>
  <c r="H55" i="10"/>
  <c r="J55" i="10" s="1"/>
  <c r="K55" i="10" s="1"/>
  <c r="H51" i="10"/>
  <c r="J51" i="10" s="1"/>
  <c r="K51" i="10" s="1"/>
  <c r="H9" i="10"/>
  <c r="J9" i="10" s="1"/>
  <c r="K9" i="10" s="1"/>
  <c r="H17" i="10"/>
  <c r="J17" i="10" s="1"/>
  <c r="K17" i="10" s="1"/>
  <c r="H25" i="10"/>
  <c r="J25" i="10" s="1"/>
  <c r="K25" i="10" s="1"/>
  <c r="H33" i="10"/>
  <c r="J33" i="10" s="1"/>
  <c r="K33" i="10" s="1"/>
  <c r="H41" i="10"/>
  <c r="J41" i="10" s="1"/>
  <c r="K41" i="10" s="1"/>
  <c r="H49" i="10"/>
  <c r="J49" i="10" s="1"/>
  <c r="K49" i="10" s="1"/>
  <c r="H57" i="10"/>
  <c r="J57" i="10" s="1"/>
  <c r="K57" i="10" s="1"/>
  <c r="H61" i="10"/>
  <c r="J61" i="10" s="1"/>
  <c r="K61" i="10" s="1"/>
  <c r="H4" i="10"/>
  <c r="J4" i="10" s="1"/>
  <c r="K4" i="10" s="1"/>
  <c r="H8" i="10"/>
  <c r="J8" i="10" s="1"/>
  <c r="K8" i="10" s="1"/>
  <c r="H12" i="10"/>
  <c r="J12" i="10" s="1"/>
  <c r="K12" i="10" s="1"/>
  <c r="H16" i="10"/>
  <c r="J16" i="10" s="1"/>
  <c r="K16" i="10" s="1"/>
  <c r="H20" i="10"/>
  <c r="J20" i="10" s="1"/>
  <c r="K20" i="10" s="1"/>
  <c r="H24" i="10"/>
  <c r="J24" i="10" s="1"/>
  <c r="K24" i="10" s="1"/>
  <c r="H28" i="10"/>
  <c r="J28" i="10" s="1"/>
  <c r="K28" i="10" s="1"/>
  <c r="H32" i="10"/>
  <c r="J32" i="10" s="1"/>
  <c r="K32" i="10" s="1"/>
  <c r="H36" i="10"/>
  <c r="J36" i="10" s="1"/>
  <c r="K36" i="10" s="1"/>
  <c r="H40" i="10"/>
  <c r="J40" i="10" s="1"/>
  <c r="K40" i="10" s="1"/>
  <c r="H44" i="10"/>
  <c r="J44" i="10" s="1"/>
  <c r="K44" i="10" s="1"/>
  <c r="H48" i="10"/>
  <c r="J48" i="10" s="1"/>
  <c r="K48" i="10" s="1"/>
  <c r="H52" i="10"/>
  <c r="J52" i="10" s="1"/>
  <c r="K52" i="10" s="1"/>
  <c r="H56" i="10"/>
  <c r="J56" i="10" s="1"/>
  <c r="K56" i="10" s="1"/>
  <c r="H59" i="10"/>
  <c r="J59" i="10" s="1"/>
  <c r="K59" i="10" s="1"/>
  <c r="H60" i="10"/>
  <c r="J60" i="10" s="1"/>
  <c r="K60" i="10" s="1"/>
  <c r="H6" i="10"/>
  <c r="J6" i="10" s="1"/>
  <c r="K6" i="10" s="1"/>
  <c r="H10" i="10"/>
  <c r="J10" i="10" s="1"/>
  <c r="K10" i="10" s="1"/>
  <c r="H14" i="10"/>
  <c r="J14" i="10" s="1"/>
  <c r="K14" i="10" s="1"/>
  <c r="H18" i="10"/>
  <c r="J18" i="10" s="1"/>
  <c r="K18" i="10" s="1"/>
  <c r="H22" i="10"/>
  <c r="J22" i="10" s="1"/>
  <c r="K22" i="10" s="1"/>
  <c r="H26" i="10"/>
  <c r="J26" i="10" s="1"/>
  <c r="K26" i="10" s="1"/>
  <c r="H30" i="10"/>
  <c r="J30" i="10" s="1"/>
  <c r="K30" i="10" s="1"/>
  <c r="H34" i="10"/>
  <c r="J34" i="10" s="1"/>
  <c r="K34" i="10" s="1"/>
  <c r="H38" i="10"/>
  <c r="J38" i="10" s="1"/>
  <c r="K38" i="10" s="1"/>
  <c r="H42" i="10"/>
  <c r="H46" i="10"/>
  <c r="J46" i="10" s="1"/>
  <c r="K46" i="10" s="1"/>
  <c r="H50" i="10"/>
  <c r="J50" i="10" s="1"/>
  <c r="K50" i="10" s="1"/>
  <c r="H58" i="10"/>
  <c r="J58" i="10" s="1"/>
  <c r="K58" i="10" s="1"/>
  <c r="H19" i="10"/>
  <c r="J19" i="10" s="1"/>
  <c r="K19" i="10" s="1"/>
  <c r="J15" i="10"/>
  <c r="K15" i="10" s="1"/>
  <c r="J47" i="10"/>
  <c r="K47" i="10" s="1"/>
  <c r="H11" i="10"/>
  <c r="J11" i="10" s="1"/>
  <c r="K11" i="10" s="1"/>
  <c r="J42" i="10"/>
  <c r="K42" i="10" s="1"/>
  <c r="H53" i="10"/>
  <c r="J53" i="10" s="1"/>
  <c r="K53" i="10" s="1"/>
  <c r="H35" i="10"/>
  <c r="J35" i="10" s="1"/>
  <c r="K35" i="10" s="1"/>
  <c r="H29" i="10"/>
  <c r="J29" i="10" s="1"/>
  <c r="K29" i="10" s="1"/>
  <c r="J7" i="10"/>
  <c r="K7" i="10" s="1"/>
  <c r="H37" i="10"/>
  <c r="J37" i="10" s="1"/>
  <c r="K37" i="10" s="1"/>
  <c r="H45" i="10"/>
  <c r="J45" i="10" s="1"/>
  <c r="K45" i="10" s="1"/>
  <c r="H13" i="10"/>
  <c r="J13" i="10" s="1"/>
  <c r="K13" i="10" s="1"/>
  <c r="H43" i="10"/>
  <c r="J43" i="10" s="1"/>
  <c r="K43" i="10" s="1"/>
  <c r="H3" i="10"/>
  <c r="J3" i="10" s="1"/>
  <c r="K3" i="10" s="1"/>
  <c r="H21" i="10"/>
  <c r="J21" i="10" s="1"/>
  <c r="K21" i="10" s="1"/>
  <c r="H27" i="10"/>
  <c r="J27" i="10" s="1"/>
  <c r="K27" i="10" s="1"/>
  <c r="H54" i="10"/>
  <c r="J54" i="10" s="1"/>
  <c r="K54" i="10" s="1"/>
  <c r="H5" i="10"/>
  <c r="J5" i="10" s="1"/>
  <c r="K5" i="10" s="1"/>
  <c r="J23" i="10"/>
  <c r="K23" i="10" s="1"/>
</calcChain>
</file>

<file path=xl/sharedStrings.xml><?xml version="1.0" encoding="utf-8"?>
<sst xmlns="http://schemas.openxmlformats.org/spreadsheetml/2006/main" count="934" uniqueCount="259">
  <si>
    <t>DIH Risk Dataset — Handover Workbook</t>
  </si>
  <si>
    <t>Purpose</t>
  </si>
  <si>
    <t>Static reference dataset the DIH tech team implements the risk-calculation pipeline against, until the live data flows (Google Dynamic World, MoA livestock census, IPC feed, DWA water demand) are wired in. Every value in the blue-fill cells is meant to be replaced by real data at ingestion time; the formulas in the black cells compute the final risk score and class per Inkhundla.</t>
  </si>
  <si>
    <t>How to use this workbook</t>
  </si>
  <si>
    <t>1. Read the Methodology tab. It contains the formulas, the rescale tables and the risk-class bands that every downstream calculation depends on.</t>
  </si>
  <si>
    <t>2. Fill the blue-highlighted cells on each of the input tabs (Inkhundla_master, Exposure_*, Vulnerability_IPC, Hazard_current_cycle). Rows are pre-numbered 1–59; the Inkhundla name in column B must match exactly across every tab.</t>
  </si>
  <si>
    <t>3. The Risk_expected tab pulls values from the input tabs and computes the expected risk score + class for each Inkhundla. Do not edit its cells — treat them as the verification target for the pipeline implementation.</t>
  </si>
  <si>
    <t>4. Field_dictionary is the machine-readable spec — column, unit, source, cadence and whether the field is currently static or wired to a live pipeline. Keep it in sync as fields move from static → live.</t>
  </si>
  <si>
    <t>Cell colour legend</t>
  </si>
  <si>
    <t>• Blue text on yellow fill  →  input cell, user-editable</t>
  </si>
  <si>
    <t>• Green text                →  cross-sheet lookup or reference (do not edit)</t>
  </si>
  <si>
    <t>• Black text                →  formula (do not edit)</t>
  </si>
  <si>
    <t>Versioning</t>
  </si>
  <si>
    <t>Every published risk score is versioned against the exact contents of this workbook. Before shipping a new version bump the version below and record what changed. Historical risk scores are NOT retroactively recomputed against new configurations.</t>
  </si>
  <si>
    <t>Version:                v0.1 — schema only, awaiting first population</t>
  </si>
  <si>
    <t>Owner:                  NDRMA · DIH programme</t>
  </si>
  <si>
    <t>Last updated:           &lt;fill in on population&gt;</t>
  </si>
  <si>
    <t>Reference document:     DIH-Operational-SOP-v1.docx §4.5</t>
  </si>
  <si>
    <t>Risk methodology — reference tables</t>
  </si>
  <si>
    <t>Formulas and rescale tables that drive every calculation in this workbook. See DIH-Operational-SOP-v1.docx §4.5 for the full narrative.</t>
  </si>
  <si>
    <t>Risk formula</t>
  </si>
  <si>
    <t>Risk(i)  =  Hazard(i)  ×  Exposure(i)  ×  Vulnerability(i)</t>
  </si>
  <si>
    <t>All three components lie in [0, 1] so the product also lies in [0, 1]. A multiplicative form is used so that risk collapses to zero whenever any single component is absent (no hazard, no exposure, or no vulnerability = no active risk).</t>
  </si>
  <si>
    <t>Hazard rescale table  —  validated D-class → H value</t>
  </si>
  <si>
    <t>Equal 0.20 steps across the six-class NDMC scale.</t>
  </si>
  <si>
    <t>D-class</t>
  </si>
  <si>
    <t>H value</t>
  </si>
  <si>
    <t>Description</t>
  </si>
  <si>
    <t>None</t>
  </si>
  <si>
    <t>No drought signal</t>
  </si>
  <si>
    <t>D0</t>
  </si>
  <si>
    <t>Abnormally dry</t>
  </si>
  <si>
    <t>D1</t>
  </si>
  <si>
    <t>Moderate drought</t>
  </si>
  <si>
    <t>D2</t>
  </si>
  <si>
    <t>Severe drought</t>
  </si>
  <si>
    <t>D3</t>
  </si>
  <si>
    <t>Extreme drought</t>
  </si>
  <si>
    <t>D4</t>
  </si>
  <si>
    <t>Exceptional drought</t>
  </si>
  <si>
    <t>IPC vulnerability rescale table  —  phase → V value</t>
  </si>
  <si>
    <t>Non-linear because IPC severity is non-linear. Phase 1 is deliberately non-zero so that a severe hazard in a currently food-secure Inkhundla is not silenced.</t>
  </si>
  <si>
    <t>IPC phase</t>
  </si>
  <si>
    <t>V value</t>
  </si>
  <si>
    <t>Minimal / None</t>
  </si>
  <si>
    <t>Stressed</t>
  </si>
  <si>
    <t>Crisis</t>
  </si>
  <si>
    <t>Emergency</t>
  </si>
  <si>
    <t>Famine</t>
  </si>
  <si>
    <t>Risk-class bands</t>
  </si>
  <si>
    <t>Cut-offs used for map rendering and to match Recommended Mitigation Actions. The number of Inkhundla in each class will vary from cycle to cycle — this is intended.</t>
  </si>
  <si>
    <t>Threshold ≥</t>
  </si>
  <si>
    <t>Class</t>
  </si>
  <si>
    <t>Operational implication</t>
  </si>
  <si>
    <t>Very High</t>
  </si>
  <si>
    <t>Immediate response; priority resource allocation</t>
  </si>
  <si>
    <t>High</t>
  </si>
  <si>
    <t>Response planning; activate contingency arrangements</t>
  </si>
  <si>
    <t>Moderate</t>
  </si>
  <si>
    <t>Monitor and prepare; early-warning triggers active</t>
  </si>
  <si>
    <t>Low</t>
  </si>
  <si>
    <t>Routine monitoring only</t>
  </si>
  <si>
    <t>Exposure composition</t>
  </si>
  <si>
    <t>Exposure(i) = arithmetic mean of the four sub-indicators listed below, each min-max normalised across the 59 Tinkhundla within the current cycle. Until water demand methodology is agreed with DWA, the composite is computed on the remaining three sub-indicators at 1/3 weight each; the Risk_expected sheet averages non-blank values so this behaviour is automatic.</t>
  </si>
  <si>
    <t>Sub-indicator</t>
  </si>
  <si>
    <t>Weight (when all 4 present)</t>
  </si>
  <si>
    <t>Weight (interim, 3 present)</t>
  </si>
  <si>
    <t>Normalisation method</t>
  </si>
  <si>
    <t>Land use — DVI-agri</t>
  </si>
  <si>
    <t>1/3 ≈ 0.333</t>
  </si>
  <si>
    <t>Dynamic World reclass → agri-mask → polygon mean → min-max across 59 Tinkhundla</t>
  </si>
  <si>
    <t>Water demand</t>
  </si>
  <si>
    <t>Population</t>
  </si>
  <si>
    <t>Min-max of Inkhundla population count across 59 Tinkhundla</t>
  </si>
  <si>
    <t>Cattle count</t>
  </si>
  <si>
    <t>Min-max of Inkhundla cattle count across 59 Tinkhundla</t>
  </si>
  <si>
    <t>Land-cover DVI weights (Dynamic World reclass, feeds DVI-agri)</t>
  </si>
  <si>
    <t>Per-pixel weights applied before the agricultural mask and zonal aggregation. Kept here for reference; DVI-agri values arrive at this workbook already computed per Inkhundla.</t>
  </si>
  <si>
    <t>Land-cover class</t>
  </si>
  <si>
    <t>DVI weight</t>
  </si>
  <si>
    <t>Note</t>
  </si>
  <si>
    <t>Cropland</t>
  </si>
  <si>
    <t>Rain-fed crops — highest drought sensitivity</t>
  </si>
  <si>
    <t>Grassland</t>
  </si>
  <si>
    <t>Shallow-rooted grazing</t>
  </si>
  <si>
    <t>Shrubland</t>
  </si>
  <si>
    <t>Deeper roots — partial resilience</t>
  </si>
  <si>
    <t>Trees / Forest</t>
  </si>
  <si>
    <t>Established canopy and roots</t>
  </si>
  <si>
    <t>Water / Built / Other</t>
  </si>
  <si>
    <t>Not directly drought-sensitive</t>
  </si>
  <si>
    <t>Inkhundla master   —   Canonical list of 59 Tinkhundla. Blue cells are user-fillable. Names in column B are the join key on every other sheet — spell them consistently.</t>
  </si>
  <si>
    <t>#</t>
  </si>
  <si>
    <t>Inkhundla name</t>
  </si>
  <si>
    <t>Region</t>
  </si>
  <si>
    <t>Agro-eco zone</t>
  </si>
  <si>
    <t>Area (km²)</t>
  </si>
  <si>
    <t>Tinkhundla ID</t>
  </si>
  <si>
    <t>Notes</t>
  </si>
  <si>
    <t>Exposure · Land use (DVI-agri)   —   One row per Inkhundla. Fill DVI-agri (polygon mean of the masked DVI raster, typical range 0.55–0.90). Column D auto-normalises across the 59 rows.</t>
  </si>
  <si>
    <t>DVI-agri (raw)</t>
  </si>
  <si>
    <t>Normalised (0–1)</t>
  </si>
  <si>
    <t>Source</t>
  </si>
  <si>
    <t>Reference date</t>
  </si>
  <si>
    <t>Exposure · Population   —   One row per Inkhundla. Fill population count. Column D auto-normalises across the 59 rows.</t>
  </si>
  <si>
    <t>Population count</t>
  </si>
  <si>
    <t>Reference year</t>
  </si>
  <si>
    <t>Exposure · Cattle count   —   One row per Inkhundla. Fill cattle count (MoA livestock census). Column D auto-normalises across the 59 rows.</t>
  </si>
  <si>
    <t>Exposure · Water demand   —   PENDING (methodology TBD with DWA)   —   Placeholder. Until DWA agrees a methodology, leave column C blank. The Risk_expected sheet averages non-blank exposure components, so the composite will use 3 sub-indicators at 1/3 weight each while this sheet is empty.</t>
  </si>
  <si>
    <t>Water demand (raw)</t>
  </si>
  <si>
    <t>Vulnerability · IPC Acute Food Insecurity phase   —   One row per Inkhundla. Fill the IPC phase (1–5). Column D auto-maps to the V value via the Methodology · IPC rescale table.</t>
  </si>
  <si>
    <t>IPC phase (1–5)</t>
  </si>
  <si>
    <t>Publication date</t>
  </si>
  <si>
    <t>Hazard · validated D-class for the current cycle   —   One row per Inkhundla. Fill the validated D-class (None · D0 · D1 · D2 · D3 · D4). Column E auto-maps to the H value via the Methodology · Hazard rescale table.</t>
  </si>
  <si>
    <t>Cycle month</t>
  </si>
  <si>
    <t>Validated D-class</t>
  </si>
  <si>
    <t>Validated on (date)</t>
  </si>
  <si>
    <t>Risk_expected  —  verification target for the pipeline   —   This sheet is 100% formula. Fill Inkhundla name in column B (or leave blank to derive from Inkhundla_master). Every other column pulls from the input tabs. The tech team's pipeline should reproduce column J and column K exactly.</t>
  </si>
  <si>
    <t>Hazard (H)</t>
  </si>
  <si>
    <t>Land use (norm)</t>
  </si>
  <si>
    <t>Population (norm)</t>
  </si>
  <si>
    <t>Cattle (norm)</t>
  </si>
  <si>
    <t>Water demand (norm)</t>
  </si>
  <si>
    <t>Exposure (E)</t>
  </si>
  <si>
    <t>Vulnerability (V)</t>
  </si>
  <si>
    <t>Risk score</t>
  </si>
  <si>
    <t>Risk class</t>
  </si>
  <si>
    <t>min-max of inkhundla water demand across 59 tinkhundla</t>
  </si>
  <si>
    <t>Hhukwini</t>
  </si>
  <si>
    <t>Lobamba</t>
  </si>
  <si>
    <t>Madlangempisi</t>
  </si>
  <si>
    <t>Maphalaleni</t>
  </si>
  <si>
    <t>Mayiwane</t>
  </si>
  <si>
    <t>Mbabane East</t>
  </si>
  <si>
    <t>Mbabane West</t>
  </si>
  <si>
    <t>Mhlangatane</t>
  </si>
  <si>
    <t>Ndzingeni</t>
  </si>
  <si>
    <t>Nkhaba</t>
  </si>
  <si>
    <t>Motshane</t>
  </si>
  <si>
    <t>Ntfonjeni</t>
  </si>
  <si>
    <t>Lamgabhi</t>
  </si>
  <si>
    <t>Lobamba lomdzala</t>
  </si>
  <si>
    <t>Piggs peak</t>
  </si>
  <si>
    <t>Ludzeludze</t>
  </si>
  <si>
    <t>Mafutseni</t>
  </si>
  <si>
    <t>Mahlangatsha</t>
  </si>
  <si>
    <t>Mangcongco</t>
  </si>
  <si>
    <t>Siphocosini</t>
  </si>
  <si>
    <t>Timphisini</t>
  </si>
  <si>
    <t>Dvokodvweni</t>
  </si>
  <si>
    <t>Gilgal</t>
  </si>
  <si>
    <t>Lomahasha</t>
  </si>
  <si>
    <t>Lubuli</t>
  </si>
  <si>
    <t>Lugongolweni</t>
  </si>
  <si>
    <t>Matsanjeni North</t>
  </si>
  <si>
    <t>Mhlume</t>
  </si>
  <si>
    <t>Mpolonjeni</t>
  </si>
  <si>
    <t>Nkilongo</t>
  </si>
  <si>
    <t>Siphofaneni</t>
  </si>
  <si>
    <t>Sithobela</t>
  </si>
  <si>
    <t>Kukhanyeni</t>
  </si>
  <si>
    <t>Kwaluseni</t>
  </si>
  <si>
    <t>Manzini South</t>
  </si>
  <si>
    <t>Mhlambanyatsi</t>
  </si>
  <si>
    <t>Mkhiweni</t>
  </si>
  <si>
    <t>Mtfongwaneni</t>
  </si>
  <si>
    <t>Ngwemphisi</t>
  </si>
  <si>
    <t>Manzini North</t>
  </si>
  <si>
    <t>Nhlambeni</t>
  </si>
  <si>
    <t>Nkomiyahlaba</t>
  </si>
  <si>
    <t>Ntondozi</t>
  </si>
  <si>
    <t>Phondo</t>
  </si>
  <si>
    <t>Gege</t>
  </si>
  <si>
    <t>Hosea</t>
  </si>
  <si>
    <t>Kubuta</t>
  </si>
  <si>
    <t>Kumethula</t>
  </si>
  <si>
    <t>Maseyisini</t>
  </si>
  <si>
    <t>Matsanjeni South</t>
  </si>
  <si>
    <t>Somntongo</t>
  </si>
  <si>
    <t>Mtsambama</t>
  </si>
  <si>
    <t>Ngudzeni</t>
  </si>
  <si>
    <t>Nkwene</t>
  </si>
  <si>
    <t>Sandleni</t>
  </si>
  <si>
    <t>Shiselweni I</t>
  </si>
  <si>
    <t>Shiselweni II</t>
  </si>
  <si>
    <t>Sigwe</t>
  </si>
  <si>
    <t>Zombodze Emuva</t>
  </si>
  <si>
    <t>Hhohho</t>
  </si>
  <si>
    <t>Manzini</t>
  </si>
  <si>
    <t>Lubombo</t>
  </si>
  <si>
    <t>Shiselweni</t>
  </si>
  <si>
    <t>Highveld</t>
  </si>
  <si>
    <t>Western Lowveld</t>
  </si>
  <si>
    <t>Lower Middleveld</t>
  </si>
  <si>
    <t>Eastern Lowveld</t>
  </si>
  <si>
    <t>Upper Middleveld</t>
  </si>
  <si>
    <t>SWZ001001</t>
  </si>
  <si>
    <t>SWZ001002</t>
  </si>
  <si>
    <t>SWZ001003</t>
  </si>
  <si>
    <t>SWZ001004</t>
  </si>
  <si>
    <t>SWZ001005</t>
  </si>
  <si>
    <t>SWZ001006</t>
  </si>
  <si>
    <t>SWZ001007</t>
  </si>
  <si>
    <t>SWZ001008</t>
  </si>
  <si>
    <t>SWZ001010</t>
  </si>
  <si>
    <t>SWZ001011</t>
  </si>
  <si>
    <t>SWZ001009</t>
  </si>
  <si>
    <t>SWZ001012</t>
  </si>
  <si>
    <t>SWZ003003</t>
  </si>
  <si>
    <t>SWZ003004</t>
  </si>
  <si>
    <t>SWZ001013</t>
  </si>
  <si>
    <t>SWZ003005</t>
  </si>
  <si>
    <t>SWZ003006</t>
  </si>
  <si>
    <t>SWZ003007</t>
  </si>
  <si>
    <t>SWZ003008</t>
  </si>
  <si>
    <t>SWZ001014</t>
  </si>
  <si>
    <t>SWZ001015</t>
  </si>
  <si>
    <t>SWZ002001</t>
  </si>
  <si>
    <t>SWZ002002</t>
  </si>
  <si>
    <t>SWZ002003</t>
  </si>
  <si>
    <t>SWZ002004</t>
  </si>
  <si>
    <t>SWZ002005</t>
  </si>
  <si>
    <t>SWZ002006</t>
  </si>
  <si>
    <t>SWZ002007</t>
  </si>
  <si>
    <t>SWZ002008</t>
  </si>
  <si>
    <t>SWZ002009</t>
  </si>
  <si>
    <t>SWZ002010</t>
  </si>
  <si>
    <t>SWZ002011</t>
  </si>
  <si>
    <t>SWZ003001</t>
  </si>
  <si>
    <t>SWZ003002</t>
  </si>
  <si>
    <t>SWZ003010</t>
  </si>
  <si>
    <t>SWZ003011</t>
  </si>
  <si>
    <t>SWZ003012</t>
  </si>
  <si>
    <t>SWZ003013</t>
  </si>
  <si>
    <t>SWZ003014</t>
  </si>
  <si>
    <t>SWZ003009</t>
  </si>
  <si>
    <t>SWZ003015</t>
  </si>
  <si>
    <t>SWZ003016</t>
  </si>
  <si>
    <t>SWZ003017</t>
  </si>
  <si>
    <t>SWZ003018</t>
  </si>
  <si>
    <t>SWZ004001</t>
  </si>
  <si>
    <t>SWZ004002</t>
  </si>
  <si>
    <t>SWZ004003</t>
  </si>
  <si>
    <t>SWZ004004</t>
  </si>
  <si>
    <t>SWZ004005</t>
  </si>
  <si>
    <t>SWZ004006</t>
  </si>
  <si>
    <t>SWZ004014</t>
  </si>
  <si>
    <t>SWZ004007</t>
  </si>
  <si>
    <t>SWZ004008</t>
  </si>
  <si>
    <t>SWZ004009</t>
  </si>
  <si>
    <t>SWZ004010</t>
  </si>
  <si>
    <t>SWZ004011</t>
  </si>
  <si>
    <t>SWZ004012</t>
  </si>
  <si>
    <t>SWZ004013</t>
  </si>
  <si>
    <t>SWZ004015</t>
  </si>
  <si>
    <t>Inkhundla ID</t>
  </si>
  <si>
    <t>dynamic world</t>
  </si>
  <si>
    <t>world pop</t>
  </si>
  <si>
    <t>Inkhudnla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</si>
</sst>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b/>
      <sz val="11"/>
      <color rgb="FF1F2937"/>
      <name val="Arial"/>
      <family val="2"/>
    </font>
    <font>
      <sz val="10"/>
      <name val="Arial"/>
      <family val="2"/>
    </font>
    <font>
      <i/>
      <sz val="10"/>
      <color rgb="FF4B5563"/>
      <name val="Arial"/>
      <family val="2"/>
    </font>
    <font>
      <b/>
      <sz val="10"/>
      <color rgb="FFFFFFFF"/>
      <name val="Arial"/>
      <family val="2"/>
    </font>
    <font>
      <sz val="10"/>
      <color rgb="FF37415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4"/>
      <color rgb="FF1F2937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1F293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FFFACD"/>
        <bgColor rgb="FFF3F4F6"/>
      </patternFill>
    </fill>
    <fill>
      <patternFill patternType="solid">
        <fgColor rgb="FFFDE68A"/>
        <bgColor rgb="FFFFCC9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4" borderId="1" xfId="0" applyFont="1" applyFill="1" applyBorder="1"/>
    <xf numFmtId="0" fontId="9" fillId="0" borderId="1" xfId="0" applyFont="1" applyBorder="1"/>
    <xf numFmtId="164" fontId="10" fillId="0" borderId="1" xfId="0" applyNumberFormat="1" applyFont="1" applyBorder="1"/>
    <xf numFmtId="164" fontId="9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left" vertical="top" wrapText="1"/>
    </xf>
    <xf numFmtId="0" fontId="13" fillId="0" borderId="0" xfId="0" applyFont="1"/>
    <xf numFmtId="0" fontId="14" fillId="0" borderId="0" xfId="0" applyFont="1"/>
    <xf numFmtId="0" fontId="1" fillId="0" borderId="0" xfId="0" applyFont="1"/>
    <xf numFmtId="14" fontId="8" fillId="4" borderId="1" xfId="0" applyNumberFormat="1" applyFont="1" applyFill="1" applyBorder="1"/>
    <xf numFmtId="0" fontId="4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zoomScaleNormal="100" workbookViewId="0">
      <selection activeCell="A7" sqref="A7"/>
    </sheetView>
  </sheetViews>
  <sheetFormatPr baseColWidth="10" defaultColWidth="8.6640625" defaultRowHeight="15" x14ac:dyDescent="0.2"/>
  <cols>
    <col min="1" max="1" width="200" customWidth="1"/>
  </cols>
  <sheetData>
    <row r="1" spans="1:1" ht="21.75" customHeight="1" x14ac:dyDescent="0.2">
      <c r="A1" s="1" t="s">
        <v>0</v>
      </c>
    </row>
    <row r="3" spans="1:1" ht="18" x14ac:dyDescent="0.2">
      <c r="A3" s="11" t="s">
        <v>1</v>
      </c>
    </row>
    <row r="4" spans="1:1" ht="60" customHeight="1" x14ac:dyDescent="0.2">
      <c r="A4" s="12" t="s">
        <v>2</v>
      </c>
    </row>
    <row r="5" spans="1:1" ht="20" x14ac:dyDescent="0.2">
      <c r="A5" s="13"/>
    </row>
    <row r="6" spans="1:1" ht="20" x14ac:dyDescent="0.2">
      <c r="A6" s="14" t="s">
        <v>3</v>
      </c>
    </row>
    <row r="7" spans="1:1" ht="30" customHeight="1" x14ac:dyDescent="0.2">
      <c r="A7" s="12" t="s">
        <v>4</v>
      </c>
    </row>
    <row r="8" spans="1:1" ht="45" customHeight="1" x14ac:dyDescent="0.2">
      <c r="A8" s="12" t="s">
        <v>5</v>
      </c>
    </row>
    <row r="9" spans="1:1" ht="45" customHeight="1" x14ac:dyDescent="0.2">
      <c r="A9" s="12" t="s">
        <v>6</v>
      </c>
    </row>
    <row r="10" spans="1:1" ht="45" customHeight="1" x14ac:dyDescent="0.2">
      <c r="A10" s="12" t="s">
        <v>7</v>
      </c>
    </row>
    <row r="11" spans="1:1" ht="20" x14ac:dyDescent="0.2">
      <c r="A11" s="13"/>
    </row>
    <row r="12" spans="1:1" ht="20" x14ac:dyDescent="0.2">
      <c r="A12" s="14" t="s">
        <v>8</v>
      </c>
    </row>
    <row r="13" spans="1:1" ht="18" customHeight="1" x14ac:dyDescent="0.2">
      <c r="A13" s="12" t="s">
        <v>9</v>
      </c>
    </row>
    <row r="14" spans="1:1" ht="18" customHeight="1" x14ac:dyDescent="0.2">
      <c r="A14" s="12" t="s">
        <v>10</v>
      </c>
    </row>
    <row r="15" spans="1:1" ht="18" customHeight="1" x14ac:dyDescent="0.2">
      <c r="A15" s="12" t="s">
        <v>11</v>
      </c>
    </row>
    <row r="16" spans="1:1" ht="20" x14ac:dyDescent="0.2">
      <c r="A16" s="13"/>
    </row>
    <row r="17" spans="1:1" ht="20" x14ac:dyDescent="0.2">
      <c r="A17" s="14" t="s">
        <v>12</v>
      </c>
    </row>
    <row r="18" spans="1:1" ht="45" customHeight="1" x14ac:dyDescent="0.2">
      <c r="A18" s="12" t="s">
        <v>13</v>
      </c>
    </row>
    <row r="20" spans="1:1" x14ac:dyDescent="0.2">
      <c r="A20" s="3" t="s">
        <v>14</v>
      </c>
    </row>
    <row r="21" spans="1:1" x14ac:dyDescent="0.2">
      <c r="A21" s="3" t="s">
        <v>15</v>
      </c>
    </row>
    <row r="22" spans="1:1" x14ac:dyDescent="0.2">
      <c r="A22" s="3" t="s">
        <v>16</v>
      </c>
    </row>
    <row r="23" spans="1:1" x14ac:dyDescent="0.2">
      <c r="A23" s="3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zoomScaleNormal="100" workbookViewId="0">
      <pane ySplit="1" topLeftCell="A18" activePane="bottomLeft" state="frozen"/>
      <selection pane="bottomLeft" activeCell="D43" sqref="D43"/>
    </sheetView>
  </sheetViews>
  <sheetFormatPr baseColWidth="10" defaultColWidth="8.6640625" defaultRowHeight="15" x14ac:dyDescent="0.2"/>
  <cols>
    <col min="1" max="1" width="26" customWidth="1"/>
    <col min="2" max="3" width="16" customWidth="1"/>
    <col min="4" max="4" width="42" customWidth="1"/>
  </cols>
  <sheetData>
    <row r="1" spans="1:4" ht="21.75" customHeight="1" x14ac:dyDescent="0.2">
      <c r="A1" s="1" t="s">
        <v>18</v>
      </c>
    </row>
    <row r="2" spans="1:4" ht="30" customHeight="1" x14ac:dyDescent="0.2">
      <c r="A2" s="17" t="s">
        <v>19</v>
      </c>
      <c r="B2" s="17"/>
      <c r="C2" s="17"/>
      <c r="D2" s="17"/>
    </row>
    <row r="4" spans="1:4" x14ac:dyDescent="0.2">
      <c r="A4" s="2" t="s">
        <v>20</v>
      </c>
    </row>
    <row r="5" spans="1:4" ht="18" customHeight="1" x14ac:dyDescent="0.2">
      <c r="A5" s="17" t="s">
        <v>21</v>
      </c>
      <c r="B5" s="17"/>
      <c r="C5" s="17"/>
      <c r="D5" s="17"/>
    </row>
    <row r="6" spans="1:4" ht="45" customHeight="1" x14ac:dyDescent="0.2">
      <c r="A6" s="17" t="s">
        <v>22</v>
      </c>
      <c r="B6" s="17"/>
      <c r="C6" s="17"/>
      <c r="D6" s="17"/>
    </row>
    <row r="8" spans="1:4" x14ac:dyDescent="0.2">
      <c r="A8" s="2" t="s">
        <v>23</v>
      </c>
    </row>
    <row r="9" spans="1:4" ht="18" customHeight="1" x14ac:dyDescent="0.2">
      <c r="A9" s="17" t="s">
        <v>24</v>
      </c>
      <c r="B9" s="17"/>
      <c r="C9" s="17"/>
      <c r="D9" s="17"/>
    </row>
    <row r="10" spans="1:4" x14ac:dyDescent="0.2">
      <c r="A10" s="4" t="s">
        <v>25</v>
      </c>
      <c r="B10" s="4" t="s">
        <v>26</v>
      </c>
      <c r="C10" s="4"/>
      <c r="D10" s="4" t="s">
        <v>27</v>
      </c>
    </row>
    <row r="11" spans="1:4" x14ac:dyDescent="0.2">
      <c r="A11" s="5" t="s">
        <v>28</v>
      </c>
      <c r="B11" s="5">
        <v>0</v>
      </c>
      <c r="C11" s="5"/>
      <c r="D11" s="6" t="s">
        <v>29</v>
      </c>
    </row>
    <row r="12" spans="1:4" x14ac:dyDescent="0.2">
      <c r="A12" s="5" t="s">
        <v>30</v>
      </c>
      <c r="B12" s="5">
        <v>0.2</v>
      </c>
      <c r="C12" s="5"/>
      <c r="D12" s="6" t="s">
        <v>31</v>
      </c>
    </row>
    <row r="13" spans="1:4" x14ac:dyDescent="0.2">
      <c r="A13" s="5" t="s">
        <v>32</v>
      </c>
      <c r="B13" s="5">
        <v>0.4</v>
      </c>
      <c r="C13" s="5"/>
      <c r="D13" s="6" t="s">
        <v>33</v>
      </c>
    </row>
    <row r="14" spans="1:4" x14ac:dyDescent="0.2">
      <c r="A14" s="5" t="s">
        <v>34</v>
      </c>
      <c r="B14" s="5">
        <v>0.6</v>
      </c>
      <c r="C14" s="5"/>
      <c r="D14" s="6" t="s">
        <v>35</v>
      </c>
    </row>
    <row r="15" spans="1:4" x14ac:dyDescent="0.2">
      <c r="A15" s="5" t="s">
        <v>36</v>
      </c>
      <c r="B15" s="5">
        <v>0.8</v>
      </c>
      <c r="C15" s="5"/>
      <c r="D15" s="6" t="s">
        <v>37</v>
      </c>
    </row>
    <row r="16" spans="1:4" x14ac:dyDescent="0.2">
      <c r="A16" s="5" t="s">
        <v>38</v>
      </c>
      <c r="B16" s="5">
        <v>1</v>
      </c>
      <c r="C16" s="5"/>
      <c r="D16" s="6" t="s">
        <v>39</v>
      </c>
    </row>
    <row r="19" spans="1:4" x14ac:dyDescent="0.2">
      <c r="A19" s="2" t="s">
        <v>40</v>
      </c>
    </row>
    <row r="20" spans="1:4" ht="30" customHeight="1" x14ac:dyDescent="0.2">
      <c r="A20" s="17" t="s">
        <v>41</v>
      </c>
      <c r="B20" s="17"/>
      <c r="C20" s="17"/>
      <c r="D20" s="17"/>
    </row>
    <row r="21" spans="1:4" x14ac:dyDescent="0.2">
      <c r="A21" s="4" t="s">
        <v>42</v>
      </c>
      <c r="B21" s="4" t="s">
        <v>43</v>
      </c>
      <c r="C21" s="4"/>
      <c r="D21" s="4" t="s">
        <v>27</v>
      </c>
    </row>
    <row r="22" spans="1:4" x14ac:dyDescent="0.2">
      <c r="A22" s="5">
        <v>1</v>
      </c>
      <c r="B22" s="5">
        <v>0.1</v>
      </c>
      <c r="C22" s="5"/>
      <c r="D22" s="6" t="s">
        <v>44</v>
      </c>
    </row>
    <row r="23" spans="1:4" x14ac:dyDescent="0.2">
      <c r="A23" s="5">
        <v>2</v>
      </c>
      <c r="B23" s="5">
        <v>0.3</v>
      </c>
      <c r="C23" s="5"/>
      <c r="D23" s="6" t="s">
        <v>45</v>
      </c>
    </row>
    <row r="24" spans="1:4" x14ac:dyDescent="0.2">
      <c r="A24" s="5">
        <v>3</v>
      </c>
      <c r="B24" s="5">
        <v>0.6</v>
      </c>
      <c r="C24" s="5"/>
      <c r="D24" s="6" t="s">
        <v>46</v>
      </c>
    </row>
    <row r="25" spans="1:4" x14ac:dyDescent="0.2">
      <c r="A25" s="5">
        <v>4</v>
      </c>
      <c r="B25" s="5">
        <v>0.85</v>
      </c>
      <c r="C25" s="5"/>
      <c r="D25" s="6" t="s">
        <v>47</v>
      </c>
    </row>
    <row r="26" spans="1:4" x14ac:dyDescent="0.2">
      <c r="A26" s="5">
        <v>5</v>
      </c>
      <c r="B26" s="5">
        <v>1</v>
      </c>
      <c r="C26" s="5"/>
      <c r="D26" s="6" t="s">
        <v>48</v>
      </c>
    </row>
    <row r="29" spans="1:4" x14ac:dyDescent="0.2">
      <c r="A29" s="2" t="s">
        <v>49</v>
      </c>
    </row>
    <row r="30" spans="1:4" ht="30" customHeight="1" x14ac:dyDescent="0.2">
      <c r="A30" s="17" t="s">
        <v>50</v>
      </c>
      <c r="B30" s="17"/>
      <c r="C30" s="17"/>
      <c r="D30" s="17"/>
    </row>
    <row r="31" spans="1:4" x14ac:dyDescent="0.2">
      <c r="A31" s="4" t="s">
        <v>51</v>
      </c>
      <c r="B31" s="4" t="s">
        <v>52</v>
      </c>
      <c r="C31" s="4"/>
      <c r="D31" s="4" t="s">
        <v>53</v>
      </c>
    </row>
    <row r="32" spans="1:4" x14ac:dyDescent="0.2">
      <c r="A32" s="5">
        <v>0.5</v>
      </c>
      <c r="B32" s="5" t="s">
        <v>54</v>
      </c>
      <c r="C32" s="5"/>
      <c r="D32" s="6" t="s">
        <v>55</v>
      </c>
    </row>
    <row r="33" spans="1:4" ht="28" x14ac:dyDescent="0.2">
      <c r="A33" s="5">
        <v>0.3</v>
      </c>
      <c r="B33" s="5" t="s">
        <v>56</v>
      </c>
      <c r="C33" s="5"/>
      <c r="D33" s="6" t="s">
        <v>57</v>
      </c>
    </row>
    <row r="34" spans="1:4" x14ac:dyDescent="0.2">
      <c r="A34" s="5">
        <v>0.15</v>
      </c>
      <c r="B34" s="5" t="s">
        <v>58</v>
      </c>
      <c r="C34" s="5"/>
      <c r="D34" s="6" t="s">
        <v>59</v>
      </c>
    </row>
    <row r="35" spans="1:4" x14ac:dyDescent="0.2">
      <c r="A35" s="5">
        <v>0</v>
      </c>
      <c r="B35" s="5" t="s">
        <v>60</v>
      </c>
      <c r="C35" s="5"/>
      <c r="D35" s="6" t="s">
        <v>61</v>
      </c>
    </row>
    <row r="38" spans="1:4" x14ac:dyDescent="0.2">
      <c r="A38" s="2" t="s">
        <v>62</v>
      </c>
    </row>
    <row r="39" spans="1:4" ht="75" customHeight="1" x14ac:dyDescent="0.2">
      <c r="A39" s="17" t="s">
        <v>63</v>
      </c>
      <c r="B39" s="17"/>
      <c r="C39" s="17"/>
      <c r="D39" s="17"/>
    </row>
    <row r="40" spans="1:4" ht="28" x14ac:dyDescent="0.2">
      <c r="A40" s="4" t="s">
        <v>64</v>
      </c>
      <c r="B40" s="4" t="s">
        <v>65</v>
      </c>
      <c r="C40" s="4" t="s">
        <v>66</v>
      </c>
      <c r="D40" s="4" t="s">
        <v>67</v>
      </c>
    </row>
    <row r="41" spans="1:4" ht="28" x14ac:dyDescent="0.2">
      <c r="A41" s="5" t="s">
        <v>68</v>
      </c>
      <c r="B41" s="5">
        <v>0.25</v>
      </c>
      <c r="C41" s="5" t="s">
        <v>69</v>
      </c>
      <c r="D41" s="6" t="s">
        <v>70</v>
      </c>
    </row>
    <row r="42" spans="1:4" ht="28" x14ac:dyDescent="0.2">
      <c r="A42" s="5" t="s">
        <v>71</v>
      </c>
      <c r="B42" s="5">
        <v>0.25</v>
      </c>
      <c r="C42" s="5" t="s">
        <v>69</v>
      </c>
      <c r="D42" s="6" t="s">
        <v>127</v>
      </c>
    </row>
    <row r="43" spans="1:4" ht="28" x14ac:dyDescent="0.2">
      <c r="A43" s="5" t="s">
        <v>72</v>
      </c>
      <c r="B43" s="5">
        <v>0.25</v>
      </c>
      <c r="C43" s="5" t="s">
        <v>69</v>
      </c>
      <c r="D43" s="6" t="s">
        <v>73</v>
      </c>
    </row>
    <row r="44" spans="1:4" ht="28" x14ac:dyDescent="0.2">
      <c r="A44" s="5" t="s">
        <v>74</v>
      </c>
      <c r="B44" s="5">
        <v>0.25</v>
      </c>
      <c r="C44" s="5" t="s">
        <v>69</v>
      </c>
      <c r="D44" s="6" t="s">
        <v>75</v>
      </c>
    </row>
    <row r="47" spans="1:4" x14ac:dyDescent="0.2">
      <c r="A47" s="2" t="s">
        <v>76</v>
      </c>
    </row>
    <row r="48" spans="1:4" ht="30" customHeight="1" x14ac:dyDescent="0.2">
      <c r="A48" s="17" t="s">
        <v>77</v>
      </c>
      <c r="B48" s="17"/>
      <c r="C48" s="17"/>
      <c r="D48" s="17"/>
    </row>
    <row r="49" spans="1:4" x14ac:dyDescent="0.2">
      <c r="A49" s="4" t="s">
        <v>78</v>
      </c>
      <c r="B49" s="4" t="s">
        <v>79</v>
      </c>
      <c r="C49" s="4"/>
      <c r="D49" s="4" t="s">
        <v>80</v>
      </c>
    </row>
    <row r="50" spans="1:4" x14ac:dyDescent="0.2">
      <c r="A50" s="5" t="s">
        <v>81</v>
      </c>
      <c r="B50" s="5">
        <v>0.9</v>
      </c>
      <c r="C50" s="5"/>
      <c r="D50" s="6" t="s">
        <v>82</v>
      </c>
    </row>
    <row r="51" spans="1:4" x14ac:dyDescent="0.2">
      <c r="A51" s="5" t="s">
        <v>83</v>
      </c>
      <c r="B51" s="5">
        <v>0.75</v>
      </c>
      <c r="C51" s="5"/>
      <c r="D51" s="6" t="s">
        <v>84</v>
      </c>
    </row>
    <row r="52" spans="1:4" x14ac:dyDescent="0.2">
      <c r="A52" s="5" t="s">
        <v>85</v>
      </c>
      <c r="B52" s="5">
        <v>0.55000000000000004</v>
      </c>
      <c r="C52" s="5"/>
      <c r="D52" s="6" t="s">
        <v>86</v>
      </c>
    </row>
    <row r="53" spans="1:4" x14ac:dyDescent="0.2">
      <c r="A53" s="5" t="s">
        <v>87</v>
      </c>
      <c r="B53" s="5">
        <v>0.3</v>
      </c>
      <c r="C53" s="5"/>
      <c r="D53" s="6" t="s">
        <v>88</v>
      </c>
    </row>
    <row r="54" spans="1:4" x14ac:dyDescent="0.2">
      <c r="A54" s="5" t="s">
        <v>89</v>
      </c>
      <c r="B54" s="5">
        <v>0.05</v>
      </c>
      <c r="C54" s="5"/>
      <c r="D54" s="6" t="s">
        <v>90</v>
      </c>
    </row>
  </sheetData>
  <mergeCells count="8">
    <mergeCell ref="A30:D30"/>
    <mergeCell ref="A39:D39"/>
    <mergeCell ref="A48:D48"/>
    <mergeCell ref="A2:D2"/>
    <mergeCell ref="A5:D5"/>
    <mergeCell ref="A6:D6"/>
    <mergeCell ref="A9:D9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zoomScaleNormal="100" workbookViewId="0">
      <pane xSplit="2" ySplit="2" topLeftCell="C31" activePane="bottomRight" state="frozen"/>
      <selection pane="topRight" activeCell="C1" sqref="C1"/>
      <selection pane="bottomLeft" activeCell="A3" sqref="A3"/>
      <selection pane="bottomRight" activeCell="A3" sqref="A3:B61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14" customWidth="1"/>
    <col min="4" max="4" width="16" customWidth="1"/>
    <col min="5" max="5" width="12" customWidth="1"/>
    <col min="6" max="6" width="14" customWidth="1"/>
    <col min="7" max="7" width="40" customWidth="1"/>
  </cols>
  <sheetData>
    <row r="1" spans="1:7" ht="31.5" customHeight="1" x14ac:dyDescent="0.2">
      <c r="A1" s="18" t="s">
        <v>91</v>
      </c>
      <c r="B1" s="18"/>
      <c r="C1" s="18"/>
      <c r="D1" s="18"/>
      <c r="E1" s="18"/>
      <c r="F1" s="18"/>
      <c r="G1" s="18"/>
    </row>
    <row r="2" spans="1:7" ht="27.75" customHeight="1" x14ac:dyDescent="0.2">
      <c r="A2" s="4" t="s">
        <v>92</v>
      </c>
      <c r="B2" s="4" t="s">
        <v>93</v>
      </c>
      <c r="C2" s="4" t="s">
        <v>94</v>
      </c>
      <c r="D2" s="4" t="s">
        <v>95</v>
      </c>
      <c r="E2" s="4" t="s">
        <v>96</v>
      </c>
      <c r="F2" s="4" t="s">
        <v>97</v>
      </c>
      <c r="G2" s="4" t="s">
        <v>98</v>
      </c>
    </row>
    <row r="3" spans="1:7" x14ac:dyDescent="0.2">
      <c r="A3" s="5">
        <v>1</v>
      </c>
      <c r="B3" t="s">
        <v>128</v>
      </c>
      <c r="C3" t="s">
        <v>187</v>
      </c>
      <c r="D3" t="s">
        <v>191</v>
      </c>
      <c r="E3" s="15">
        <v>185924605.90000001</v>
      </c>
      <c r="F3" t="s">
        <v>196</v>
      </c>
      <c r="G3" s="7"/>
    </row>
    <row r="4" spans="1:7" x14ac:dyDescent="0.2">
      <c r="A4" s="5">
        <v>2</v>
      </c>
      <c r="B4" t="s">
        <v>129</v>
      </c>
      <c r="C4" t="s">
        <v>187</v>
      </c>
      <c r="D4" t="s">
        <v>191</v>
      </c>
      <c r="E4" s="15">
        <v>127375762</v>
      </c>
      <c r="F4" t="s">
        <v>197</v>
      </c>
      <c r="G4" s="7"/>
    </row>
    <row r="5" spans="1:7" x14ac:dyDescent="0.2">
      <c r="A5" s="5">
        <v>3</v>
      </c>
      <c r="B5" t="s">
        <v>130</v>
      </c>
      <c r="C5" t="s">
        <v>187</v>
      </c>
      <c r="D5" t="s">
        <v>191</v>
      </c>
      <c r="E5" s="15">
        <v>409432727.30000001</v>
      </c>
      <c r="F5" t="s">
        <v>198</v>
      </c>
      <c r="G5" s="7"/>
    </row>
    <row r="6" spans="1:7" x14ac:dyDescent="0.2">
      <c r="A6" s="5">
        <v>4</v>
      </c>
      <c r="B6" t="s">
        <v>131</v>
      </c>
      <c r="C6" t="s">
        <v>187</v>
      </c>
      <c r="D6" t="s">
        <v>191</v>
      </c>
      <c r="E6" s="15">
        <v>358283493.89999998</v>
      </c>
      <c r="F6" t="s">
        <v>199</v>
      </c>
      <c r="G6" s="7"/>
    </row>
    <row r="7" spans="1:7" x14ac:dyDescent="0.2">
      <c r="A7" s="5">
        <v>5</v>
      </c>
      <c r="B7" t="s">
        <v>132</v>
      </c>
      <c r="C7" t="s">
        <v>187</v>
      </c>
      <c r="D7" t="s">
        <v>192</v>
      </c>
      <c r="E7" s="15">
        <v>212371392.5</v>
      </c>
      <c r="F7" t="s">
        <v>200</v>
      </c>
      <c r="G7" s="7"/>
    </row>
    <row r="8" spans="1:7" x14ac:dyDescent="0.2">
      <c r="A8" s="5">
        <v>6</v>
      </c>
      <c r="B8" t="s">
        <v>133</v>
      </c>
      <c r="C8" t="s">
        <v>187</v>
      </c>
      <c r="D8" t="s">
        <v>191</v>
      </c>
      <c r="E8" s="15">
        <v>111533571.09999999</v>
      </c>
      <c r="F8" t="s">
        <v>201</v>
      </c>
      <c r="G8" s="7"/>
    </row>
    <row r="9" spans="1:7" x14ac:dyDescent="0.2">
      <c r="A9" s="5">
        <v>7</v>
      </c>
      <c r="B9" t="s">
        <v>134</v>
      </c>
      <c r="C9" t="s">
        <v>187</v>
      </c>
      <c r="D9" t="s">
        <v>191</v>
      </c>
      <c r="E9" s="15">
        <v>25864803.93</v>
      </c>
      <c r="F9" t="s">
        <v>202</v>
      </c>
      <c r="G9" s="7"/>
    </row>
    <row r="10" spans="1:7" x14ac:dyDescent="0.2">
      <c r="A10" s="5">
        <v>8</v>
      </c>
      <c r="B10" t="s">
        <v>135</v>
      </c>
      <c r="C10" t="s">
        <v>187</v>
      </c>
      <c r="D10" t="s">
        <v>192</v>
      </c>
      <c r="E10" s="15">
        <v>217551622.40000001</v>
      </c>
      <c r="F10" t="s">
        <v>203</v>
      </c>
      <c r="G10" s="7"/>
    </row>
    <row r="11" spans="1:7" x14ac:dyDescent="0.2">
      <c r="A11" s="5">
        <v>9</v>
      </c>
      <c r="B11" t="s">
        <v>136</v>
      </c>
      <c r="C11" t="s">
        <v>187</v>
      </c>
      <c r="D11" t="s">
        <v>191</v>
      </c>
      <c r="E11" s="15">
        <v>389432873.30000001</v>
      </c>
      <c r="F11" t="s">
        <v>204</v>
      </c>
      <c r="G11" s="7"/>
    </row>
    <row r="12" spans="1:7" x14ac:dyDescent="0.2">
      <c r="A12" s="5">
        <v>10</v>
      </c>
      <c r="B12" t="s">
        <v>137</v>
      </c>
      <c r="C12" t="s">
        <v>187</v>
      </c>
      <c r="D12" t="s">
        <v>191</v>
      </c>
      <c r="E12" s="15">
        <v>373469376.89999998</v>
      </c>
      <c r="F12" t="s">
        <v>205</v>
      </c>
      <c r="G12" s="7"/>
    </row>
    <row r="13" spans="1:7" x14ac:dyDescent="0.2">
      <c r="A13" s="5">
        <v>11</v>
      </c>
      <c r="B13" t="s">
        <v>138</v>
      </c>
      <c r="C13" t="s">
        <v>187</v>
      </c>
      <c r="D13" t="s">
        <v>191</v>
      </c>
      <c r="E13" s="15">
        <v>199755380.09999999</v>
      </c>
      <c r="F13" t="s">
        <v>206</v>
      </c>
      <c r="G13" s="7"/>
    </row>
    <row r="14" spans="1:7" x14ac:dyDescent="0.2">
      <c r="A14" s="5">
        <v>12</v>
      </c>
      <c r="B14" t="s">
        <v>139</v>
      </c>
      <c r="C14" t="s">
        <v>187</v>
      </c>
      <c r="D14" t="s">
        <v>191</v>
      </c>
      <c r="E14" s="15">
        <v>384477000.5</v>
      </c>
      <c r="F14" t="s">
        <v>207</v>
      </c>
      <c r="G14" s="7"/>
    </row>
    <row r="15" spans="1:7" x14ac:dyDescent="0.2">
      <c r="A15" s="5">
        <v>13</v>
      </c>
      <c r="B15" t="s">
        <v>140</v>
      </c>
      <c r="C15" t="s">
        <v>188</v>
      </c>
      <c r="D15" t="s">
        <v>191</v>
      </c>
      <c r="E15" s="15">
        <v>116551708.5</v>
      </c>
      <c r="F15" t="s">
        <v>208</v>
      </c>
      <c r="G15" s="7"/>
    </row>
    <row r="16" spans="1:7" x14ac:dyDescent="0.2">
      <c r="A16" s="5">
        <v>14</v>
      </c>
      <c r="B16" t="s">
        <v>141</v>
      </c>
      <c r="C16" t="s">
        <v>188</v>
      </c>
      <c r="D16" t="s">
        <v>191</v>
      </c>
      <c r="E16" s="15">
        <v>166527882.90000001</v>
      </c>
      <c r="F16" t="s">
        <v>209</v>
      </c>
      <c r="G16" s="7"/>
    </row>
    <row r="17" spans="1:7" x14ac:dyDescent="0.2">
      <c r="A17" s="5">
        <v>15</v>
      </c>
      <c r="B17" t="s">
        <v>142</v>
      </c>
      <c r="C17" t="s">
        <v>187</v>
      </c>
      <c r="D17" t="s">
        <v>191</v>
      </c>
      <c r="E17" s="15">
        <v>343348837.30000001</v>
      </c>
      <c r="F17" t="s">
        <v>210</v>
      </c>
      <c r="G17" s="7"/>
    </row>
    <row r="18" spans="1:7" x14ac:dyDescent="0.2">
      <c r="A18" s="5">
        <v>16</v>
      </c>
      <c r="B18" t="s">
        <v>143</v>
      </c>
      <c r="C18" t="s">
        <v>188</v>
      </c>
      <c r="D18" t="s">
        <v>191</v>
      </c>
      <c r="E18" s="15">
        <v>76475057.400000006</v>
      </c>
      <c r="F18" t="s">
        <v>211</v>
      </c>
      <c r="G18" s="7"/>
    </row>
    <row r="19" spans="1:7" x14ac:dyDescent="0.2">
      <c r="A19" s="5">
        <v>17</v>
      </c>
      <c r="B19" t="s">
        <v>144</v>
      </c>
      <c r="C19" t="s">
        <v>188</v>
      </c>
      <c r="D19" t="s">
        <v>193</v>
      </c>
      <c r="E19" s="15">
        <v>269039722.30000001</v>
      </c>
      <c r="F19" t="s">
        <v>212</v>
      </c>
      <c r="G19" s="7"/>
    </row>
    <row r="20" spans="1:7" x14ac:dyDescent="0.2">
      <c r="A20" s="5">
        <v>18</v>
      </c>
      <c r="B20" t="s">
        <v>145</v>
      </c>
      <c r="C20" t="s">
        <v>188</v>
      </c>
      <c r="D20" t="s">
        <v>191</v>
      </c>
      <c r="E20" s="15">
        <v>325140909.89999998</v>
      </c>
      <c r="F20" t="s">
        <v>213</v>
      </c>
      <c r="G20" s="7"/>
    </row>
    <row r="21" spans="1:7" x14ac:dyDescent="0.2">
      <c r="A21" s="5">
        <v>19</v>
      </c>
      <c r="B21" t="s">
        <v>146</v>
      </c>
      <c r="C21" t="s">
        <v>188</v>
      </c>
      <c r="D21" t="s">
        <v>191</v>
      </c>
      <c r="E21" s="15">
        <v>236900508.90000001</v>
      </c>
      <c r="F21" t="s">
        <v>214</v>
      </c>
      <c r="G21" s="7"/>
    </row>
    <row r="22" spans="1:7" x14ac:dyDescent="0.2">
      <c r="A22" s="5">
        <v>20</v>
      </c>
      <c r="B22" t="s">
        <v>147</v>
      </c>
      <c r="C22" t="s">
        <v>187</v>
      </c>
      <c r="D22" t="s">
        <v>191</v>
      </c>
      <c r="E22" s="15">
        <v>145429387.69999999</v>
      </c>
      <c r="F22" t="s">
        <v>215</v>
      </c>
      <c r="G22" s="7"/>
    </row>
    <row r="23" spans="1:7" x14ac:dyDescent="0.2">
      <c r="A23" s="5">
        <v>21</v>
      </c>
      <c r="B23" t="s">
        <v>148</v>
      </c>
      <c r="C23" t="s">
        <v>187</v>
      </c>
      <c r="D23" t="s">
        <v>191</v>
      </c>
      <c r="E23" s="15">
        <v>126990891.2</v>
      </c>
      <c r="F23" t="s">
        <v>216</v>
      </c>
      <c r="G23" s="7"/>
    </row>
    <row r="24" spans="1:7" x14ac:dyDescent="0.2">
      <c r="A24" s="5">
        <v>22</v>
      </c>
      <c r="B24" t="s">
        <v>149</v>
      </c>
      <c r="C24" t="s">
        <v>189</v>
      </c>
      <c r="D24" t="s">
        <v>194</v>
      </c>
      <c r="E24" s="15">
        <v>779638970</v>
      </c>
      <c r="F24" t="s">
        <v>217</v>
      </c>
      <c r="G24" s="7"/>
    </row>
    <row r="25" spans="1:7" x14ac:dyDescent="0.2">
      <c r="A25" s="5">
        <v>23</v>
      </c>
      <c r="B25" t="s">
        <v>150</v>
      </c>
      <c r="C25" t="s">
        <v>189</v>
      </c>
      <c r="D25" t="s">
        <v>192</v>
      </c>
      <c r="E25" s="15">
        <v>333301798.19999999</v>
      </c>
      <c r="F25" t="s">
        <v>218</v>
      </c>
      <c r="G25" s="7"/>
    </row>
    <row r="26" spans="1:7" x14ac:dyDescent="0.2">
      <c r="A26" s="5">
        <v>24</v>
      </c>
      <c r="B26" t="s">
        <v>151</v>
      </c>
      <c r="C26" t="s">
        <v>189</v>
      </c>
      <c r="D26" t="s">
        <v>194</v>
      </c>
      <c r="E26" s="15">
        <v>242798189.30000001</v>
      </c>
      <c r="F26" t="s">
        <v>219</v>
      </c>
      <c r="G26" s="7"/>
    </row>
    <row r="27" spans="1:7" x14ac:dyDescent="0.2">
      <c r="A27" s="5">
        <v>25</v>
      </c>
      <c r="B27" t="s">
        <v>152</v>
      </c>
      <c r="C27" t="s">
        <v>189</v>
      </c>
      <c r="D27" t="s">
        <v>194</v>
      </c>
      <c r="E27" s="15">
        <v>373581293.39999998</v>
      </c>
      <c r="F27" t="s">
        <v>220</v>
      </c>
      <c r="G27" s="7"/>
    </row>
    <row r="28" spans="1:7" x14ac:dyDescent="0.2">
      <c r="A28" s="5">
        <v>26</v>
      </c>
      <c r="B28" t="s">
        <v>153</v>
      </c>
      <c r="C28" t="s">
        <v>189</v>
      </c>
      <c r="D28" t="s">
        <v>194</v>
      </c>
      <c r="E28" s="15">
        <v>656172384.29999995</v>
      </c>
      <c r="F28" t="s">
        <v>221</v>
      </c>
      <c r="G28" s="7"/>
    </row>
    <row r="29" spans="1:7" x14ac:dyDescent="0.2">
      <c r="A29" s="5">
        <v>27</v>
      </c>
      <c r="B29" t="s">
        <v>154</v>
      </c>
      <c r="C29" t="s">
        <v>189</v>
      </c>
      <c r="D29" t="s">
        <v>194</v>
      </c>
      <c r="E29" s="15">
        <v>568932459.79999995</v>
      </c>
      <c r="F29" t="s">
        <v>222</v>
      </c>
      <c r="G29" s="7"/>
    </row>
    <row r="30" spans="1:7" x14ac:dyDescent="0.2">
      <c r="A30" s="5">
        <v>28</v>
      </c>
      <c r="B30" t="s">
        <v>155</v>
      </c>
      <c r="C30" t="s">
        <v>189</v>
      </c>
      <c r="D30" t="s">
        <v>194</v>
      </c>
      <c r="E30" s="15">
        <v>840166649</v>
      </c>
      <c r="F30" t="s">
        <v>223</v>
      </c>
      <c r="G30" s="7"/>
    </row>
    <row r="31" spans="1:7" x14ac:dyDescent="0.2">
      <c r="A31" s="5">
        <v>29</v>
      </c>
      <c r="B31" t="s">
        <v>156</v>
      </c>
      <c r="C31" t="s">
        <v>189</v>
      </c>
      <c r="D31" t="s">
        <v>194</v>
      </c>
      <c r="E31" s="15">
        <v>239672576.40000001</v>
      </c>
      <c r="F31" t="s">
        <v>224</v>
      </c>
      <c r="G31" s="7"/>
    </row>
    <row r="32" spans="1:7" x14ac:dyDescent="0.2">
      <c r="A32" s="5">
        <v>30</v>
      </c>
      <c r="B32" t="s">
        <v>157</v>
      </c>
      <c r="C32" t="s">
        <v>189</v>
      </c>
      <c r="D32" t="s">
        <v>194</v>
      </c>
      <c r="E32" s="15">
        <v>598351261.20000005</v>
      </c>
      <c r="F32" t="s">
        <v>225</v>
      </c>
      <c r="G32" s="7"/>
    </row>
    <row r="33" spans="1:7" x14ac:dyDescent="0.2">
      <c r="A33" s="5">
        <v>31</v>
      </c>
      <c r="B33" t="s">
        <v>158</v>
      </c>
      <c r="C33" t="s">
        <v>189</v>
      </c>
      <c r="D33" t="s">
        <v>194</v>
      </c>
      <c r="E33" s="15">
        <v>465422093.89999998</v>
      </c>
      <c r="F33" t="s">
        <v>226</v>
      </c>
      <c r="G33" s="7"/>
    </row>
    <row r="34" spans="1:7" x14ac:dyDescent="0.2">
      <c r="A34" s="5">
        <v>32</v>
      </c>
      <c r="B34" t="s">
        <v>159</v>
      </c>
      <c r="C34" t="s">
        <v>189</v>
      </c>
      <c r="D34" t="s">
        <v>194</v>
      </c>
      <c r="E34" s="15">
        <v>592350608.39999998</v>
      </c>
      <c r="F34" t="s">
        <v>227</v>
      </c>
      <c r="G34" s="7"/>
    </row>
    <row r="35" spans="1:7" x14ac:dyDescent="0.2">
      <c r="A35" s="5">
        <v>33</v>
      </c>
      <c r="B35" t="s">
        <v>160</v>
      </c>
      <c r="C35" t="s">
        <v>188</v>
      </c>
      <c r="D35" t="s">
        <v>193</v>
      </c>
      <c r="E35" s="15">
        <v>193960546.59999999</v>
      </c>
      <c r="F35" t="s">
        <v>228</v>
      </c>
      <c r="G35" s="7"/>
    </row>
    <row r="36" spans="1:7" x14ac:dyDescent="0.2">
      <c r="A36" s="5">
        <v>34</v>
      </c>
      <c r="B36" t="s">
        <v>161</v>
      </c>
      <c r="C36" t="s">
        <v>188</v>
      </c>
      <c r="D36" t="s">
        <v>195</v>
      </c>
      <c r="E36" s="15">
        <v>35783282.899999999</v>
      </c>
      <c r="F36" t="s">
        <v>229</v>
      </c>
      <c r="G36" s="7"/>
    </row>
    <row r="37" spans="1:7" x14ac:dyDescent="0.2">
      <c r="A37" s="5">
        <v>35</v>
      </c>
      <c r="B37" t="s">
        <v>162</v>
      </c>
      <c r="C37" t="s">
        <v>188</v>
      </c>
      <c r="D37" t="s">
        <v>193</v>
      </c>
      <c r="E37" s="15">
        <v>33869914.030000001</v>
      </c>
      <c r="F37" t="s">
        <v>230</v>
      </c>
      <c r="G37" s="7"/>
    </row>
    <row r="38" spans="1:7" x14ac:dyDescent="0.2">
      <c r="A38" s="5">
        <v>36</v>
      </c>
      <c r="B38" t="s">
        <v>163</v>
      </c>
      <c r="C38" t="s">
        <v>188</v>
      </c>
      <c r="D38" t="s">
        <v>191</v>
      </c>
      <c r="E38" s="15">
        <v>610563178.10000002</v>
      </c>
      <c r="F38" t="s">
        <v>231</v>
      </c>
      <c r="G38" s="7"/>
    </row>
    <row r="39" spans="1:7" x14ac:dyDescent="0.2">
      <c r="A39" s="5">
        <v>37</v>
      </c>
      <c r="B39" t="s">
        <v>164</v>
      </c>
      <c r="C39" t="s">
        <v>188</v>
      </c>
      <c r="D39" t="s">
        <v>192</v>
      </c>
      <c r="E39" s="15">
        <v>431371207.60000002</v>
      </c>
      <c r="F39" t="s">
        <v>232</v>
      </c>
      <c r="G39" s="7"/>
    </row>
    <row r="40" spans="1:7" x14ac:dyDescent="0.2">
      <c r="A40" s="5">
        <v>38</v>
      </c>
      <c r="B40" t="s">
        <v>165</v>
      </c>
      <c r="C40" t="s">
        <v>188</v>
      </c>
      <c r="D40" t="s">
        <v>192</v>
      </c>
      <c r="E40" s="15">
        <v>226207081.69999999</v>
      </c>
      <c r="F40" t="s">
        <v>233</v>
      </c>
      <c r="G40" s="7"/>
    </row>
    <row r="41" spans="1:7" x14ac:dyDescent="0.2">
      <c r="A41" s="5">
        <v>39</v>
      </c>
      <c r="B41" t="s">
        <v>166</v>
      </c>
      <c r="C41" t="s">
        <v>188</v>
      </c>
      <c r="D41" t="s">
        <v>191</v>
      </c>
      <c r="E41" s="15">
        <v>301575778.60000002</v>
      </c>
      <c r="F41" t="s">
        <v>234</v>
      </c>
      <c r="G41" s="7"/>
    </row>
    <row r="42" spans="1:7" x14ac:dyDescent="0.2">
      <c r="A42" s="5">
        <v>40</v>
      </c>
      <c r="B42" t="s">
        <v>167</v>
      </c>
      <c r="C42" t="s">
        <v>188</v>
      </c>
      <c r="D42" t="s">
        <v>195</v>
      </c>
      <c r="E42" s="15">
        <v>34966816.049999997</v>
      </c>
      <c r="F42" t="s">
        <v>235</v>
      </c>
      <c r="G42" s="7"/>
    </row>
    <row r="43" spans="1:7" x14ac:dyDescent="0.2">
      <c r="A43" s="5">
        <v>41</v>
      </c>
      <c r="B43" t="s">
        <v>168</v>
      </c>
      <c r="C43" t="s">
        <v>188</v>
      </c>
      <c r="D43" t="s">
        <v>191</v>
      </c>
      <c r="E43" s="15">
        <v>161399296.30000001</v>
      </c>
      <c r="F43" t="s">
        <v>236</v>
      </c>
      <c r="G43" s="7"/>
    </row>
    <row r="44" spans="1:7" x14ac:dyDescent="0.2">
      <c r="A44" s="5">
        <v>42</v>
      </c>
      <c r="B44" t="s">
        <v>169</v>
      </c>
      <c r="C44" t="s">
        <v>188</v>
      </c>
      <c r="D44" t="s">
        <v>191</v>
      </c>
      <c r="E44" s="15">
        <v>151734158.40000001</v>
      </c>
      <c r="F44" t="s">
        <v>237</v>
      </c>
      <c r="G44" s="7"/>
    </row>
    <row r="45" spans="1:7" x14ac:dyDescent="0.2">
      <c r="A45" s="5">
        <v>43</v>
      </c>
      <c r="B45" t="s">
        <v>170</v>
      </c>
      <c r="C45" t="s">
        <v>188</v>
      </c>
      <c r="D45" t="s">
        <v>191</v>
      </c>
      <c r="E45" s="15">
        <v>285465551.69999999</v>
      </c>
      <c r="F45" t="s">
        <v>238</v>
      </c>
      <c r="G45" s="7"/>
    </row>
    <row r="46" spans="1:7" x14ac:dyDescent="0.2">
      <c r="A46" s="5">
        <v>44</v>
      </c>
      <c r="B46" t="s">
        <v>171</v>
      </c>
      <c r="C46" t="s">
        <v>188</v>
      </c>
      <c r="D46" t="s">
        <v>191</v>
      </c>
      <c r="E46" s="15">
        <v>280328545.89999998</v>
      </c>
      <c r="F46" t="s">
        <v>239</v>
      </c>
      <c r="G46" s="7"/>
    </row>
    <row r="47" spans="1:7" x14ac:dyDescent="0.2">
      <c r="A47" s="5">
        <v>45</v>
      </c>
      <c r="B47" t="s">
        <v>172</v>
      </c>
      <c r="C47" t="s">
        <v>190</v>
      </c>
      <c r="D47" t="s">
        <v>191</v>
      </c>
      <c r="E47" s="15">
        <v>570802622.5</v>
      </c>
      <c r="F47" t="s">
        <v>240</v>
      </c>
      <c r="G47" s="7"/>
    </row>
    <row r="48" spans="1:7" x14ac:dyDescent="0.2">
      <c r="A48" s="5">
        <v>46</v>
      </c>
      <c r="B48" t="s">
        <v>173</v>
      </c>
      <c r="C48" t="s">
        <v>190</v>
      </c>
      <c r="D48" t="s">
        <v>191</v>
      </c>
      <c r="E48" s="15">
        <v>222776106.40000001</v>
      </c>
      <c r="F48" t="s">
        <v>241</v>
      </c>
      <c r="G48" s="7"/>
    </row>
    <row r="49" spans="1:7" x14ac:dyDescent="0.2">
      <c r="A49" s="5">
        <v>47</v>
      </c>
      <c r="B49" t="s">
        <v>174</v>
      </c>
      <c r="C49" t="s">
        <v>190</v>
      </c>
      <c r="D49" t="s">
        <v>191</v>
      </c>
      <c r="E49" s="15">
        <v>450932589</v>
      </c>
      <c r="F49" t="s">
        <v>242</v>
      </c>
      <c r="G49" s="7"/>
    </row>
    <row r="50" spans="1:7" x14ac:dyDescent="0.2">
      <c r="A50" s="5">
        <v>48</v>
      </c>
      <c r="B50" t="s">
        <v>175</v>
      </c>
      <c r="C50" t="s">
        <v>190</v>
      </c>
      <c r="D50" t="s">
        <v>191</v>
      </c>
      <c r="E50" s="15">
        <v>119156935.5</v>
      </c>
      <c r="F50" t="s">
        <v>243</v>
      </c>
      <c r="G50" s="7"/>
    </row>
    <row r="51" spans="1:7" x14ac:dyDescent="0.2">
      <c r="A51" s="5">
        <v>49</v>
      </c>
      <c r="B51" t="s">
        <v>176</v>
      </c>
      <c r="C51" t="s">
        <v>190</v>
      </c>
      <c r="D51" t="s">
        <v>191</v>
      </c>
      <c r="E51" s="15">
        <v>246888680</v>
      </c>
      <c r="F51" t="s">
        <v>244</v>
      </c>
      <c r="G51" s="7"/>
    </row>
    <row r="52" spans="1:7" x14ac:dyDescent="0.2">
      <c r="A52" s="5">
        <v>50</v>
      </c>
      <c r="B52" t="s">
        <v>177</v>
      </c>
      <c r="C52" t="s">
        <v>190</v>
      </c>
      <c r="D52" t="s">
        <v>194</v>
      </c>
      <c r="E52" s="15">
        <v>309477252.69999999</v>
      </c>
      <c r="F52" t="s">
        <v>245</v>
      </c>
      <c r="G52" s="7"/>
    </row>
    <row r="53" spans="1:7" x14ac:dyDescent="0.2">
      <c r="A53" s="5">
        <v>51</v>
      </c>
      <c r="B53" t="s">
        <v>178</v>
      </c>
      <c r="C53" t="s">
        <v>190</v>
      </c>
      <c r="D53" t="s">
        <v>194</v>
      </c>
      <c r="E53" s="15">
        <v>515220547.19999999</v>
      </c>
      <c r="F53" t="s">
        <v>246</v>
      </c>
      <c r="G53" s="7"/>
    </row>
    <row r="54" spans="1:7" x14ac:dyDescent="0.2">
      <c r="A54" s="5">
        <v>52</v>
      </c>
      <c r="B54" t="s">
        <v>179</v>
      </c>
      <c r="C54" t="s">
        <v>190</v>
      </c>
      <c r="D54" t="s">
        <v>191</v>
      </c>
      <c r="E54" s="15">
        <v>193291320.69999999</v>
      </c>
      <c r="F54" t="s">
        <v>247</v>
      </c>
      <c r="G54" s="7"/>
    </row>
    <row r="55" spans="1:7" x14ac:dyDescent="0.2">
      <c r="A55" s="5">
        <v>53</v>
      </c>
      <c r="B55" t="s">
        <v>180</v>
      </c>
      <c r="C55" t="s">
        <v>190</v>
      </c>
      <c r="D55" t="s">
        <v>191</v>
      </c>
      <c r="E55" s="15">
        <v>111700142.7</v>
      </c>
      <c r="F55" t="s">
        <v>248</v>
      </c>
      <c r="G55" s="7"/>
    </row>
    <row r="56" spans="1:7" x14ac:dyDescent="0.2">
      <c r="A56" s="5">
        <v>54</v>
      </c>
      <c r="B56" t="s">
        <v>181</v>
      </c>
      <c r="C56" t="s">
        <v>190</v>
      </c>
      <c r="D56" t="s">
        <v>191</v>
      </c>
      <c r="E56" s="15">
        <v>255457446.19999999</v>
      </c>
      <c r="F56" t="s">
        <v>249</v>
      </c>
      <c r="G56" s="7"/>
    </row>
    <row r="57" spans="1:7" x14ac:dyDescent="0.2">
      <c r="A57" s="5">
        <v>55</v>
      </c>
      <c r="B57" t="s">
        <v>182</v>
      </c>
      <c r="C57" t="s">
        <v>190</v>
      </c>
      <c r="D57" t="s">
        <v>191</v>
      </c>
      <c r="E57" s="15">
        <v>164008889.59999999</v>
      </c>
      <c r="F57" t="s">
        <v>250</v>
      </c>
      <c r="G57" s="7"/>
    </row>
    <row r="58" spans="1:7" x14ac:dyDescent="0.2">
      <c r="A58" s="5">
        <v>56</v>
      </c>
      <c r="B58" t="s">
        <v>183</v>
      </c>
      <c r="C58" t="s">
        <v>190</v>
      </c>
      <c r="D58" t="s">
        <v>191</v>
      </c>
      <c r="E58" s="15">
        <v>236912977</v>
      </c>
      <c r="F58" t="s">
        <v>251</v>
      </c>
      <c r="G58" s="7"/>
    </row>
    <row r="59" spans="1:7" x14ac:dyDescent="0.2">
      <c r="A59" s="5">
        <v>57</v>
      </c>
      <c r="B59" t="s">
        <v>184</v>
      </c>
      <c r="C59" t="s">
        <v>190</v>
      </c>
      <c r="D59" t="s">
        <v>191</v>
      </c>
      <c r="E59" s="15">
        <v>363252062.10000002</v>
      </c>
      <c r="F59" t="s">
        <v>252</v>
      </c>
      <c r="G59" s="7"/>
    </row>
    <row r="60" spans="1:7" x14ac:dyDescent="0.2">
      <c r="A60" s="5">
        <v>58</v>
      </c>
      <c r="B60" t="s">
        <v>185</v>
      </c>
      <c r="C60" t="s">
        <v>190</v>
      </c>
      <c r="D60" t="s">
        <v>194</v>
      </c>
      <c r="E60" s="15">
        <v>218496102.30000001</v>
      </c>
      <c r="F60" t="s">
        <v>253</v>
      </c>
      <c r="G60" s="7"/>
    </row>
    <row r="61" spans="1:7" x14ac:dyDescent="0.2">
      <c r="A61" s="5">
        <v>59</v>
      </c>
      <c r="B61" t="s">
        <v>186</v>
      </c>
      <c r="C61" t="s">
        <v>190</v>
      </c>
      <c r="D61" t="s">
        <v>191</v>
      </c>
      <c r="E61" s="15">
        <v>151748468.69999999</v>
      </c>
      <c r="F61" t="s">
        <v>254</v>
      </c>
      <c r="G61" s="7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zoomScaleNormal="10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E30" sqref="E30"/>
    </sheetView>
  </sheetViews>
  <sheetFormatPr baseColWidth="10" defaultColWidth="8.6640625" defaultRowHeight="15" x14ac:dyDescent="0.2"/>
  <cols>
    <col min="1" max="1" width="5" customWidth="1"/>
    <col min="2" max="3" width="26" customWidth="1"/>
    <col min="4" max="4" width="14" customWidth="1"/>
    <col min="5" max="5" width="16" customWidth="1"/>
    <col min="6" max="6" width="22" customWidth="1"/>
    <col min="7" max="7" width="14" customWidth="1"/>
    <col min="8" max="8" width="28" customWidth="1"/>
  </cols>
  <sheetData>
    <row r="1" spans="1:8" ht="31.5" customHeight="1" x14ac:dyDescent="0.2">
      <c r="A1" s="18" t="s">
        <v>99</v>
      </c>
      <c r="B1" s="18"/>
      <c r="C1" s="18"/>
      <c r="D1" s="18"/>
      <c r="E1" s="18"/>
      <c r="F1" s="18"/>
      <c r="G1" s="18"/>
      <c r="H1" s="18"/>
    </row>
    <row r="2" spans="1:8" ht="27.75" customHeight="1" x14ac:dyDescent="0.2">
      <c r="A2" s="4" t="s">
        <v>92</v>
      </c>
      <c r="B2" s="4" t="s">
        <v>93</v>
      </c>
      <c r="C2" s="4" t="s">
        <v>255</v>
      </c>
      <c r="D2" s="4" t="s">
        <v>100</v>
      </c>
      <c r="E2" s="4" t="s">
        <v>101</v>
      </c>
      <c r="F2" s="4" t="s">
        <v>102</v>
      </c>
      <c r="G2" s="4" t="s">
        <v>103</v>
      </c>
      <c r="H2" s="4" t="s">
        <v>98</v>
      </c>
    </row>
    <row r="3" spans="1:8" x14ac:dyDescent="0.2">
      <c r="A3" s="5">
        <v>1</v>
      </c>
      <c r="B3" t="s">
        <v>128</v>
      </c>
      <c r="C3" t="s">
        <v>196</v>
      </c>
      <c r="D3">
        <v>0.59866429032624902</v>
      </c>
      <c r="E3" s="8">
        <f t="shared" ref="E3:E34" si="0">IF(OR(D3="",COUNT($D$3:$D$61)&lt;2),"",(D3-MIN($D$3:$D$61))/(MAX($D$3:$D$61)-MIN($D$3:$D$61)))</f>
        <v>6.8990692122655434E-2</v>
      </c>
      <c r="F3" s="7" t="s">
        <v>256</v>
      </c>
      <c r="G3" s="16">
        <v>46225</v>
      </c>
      <c r="H3" s="7"/>
    </row>
    <row r="4" spans="1:8" x14ac:dyDescent="0.2">
      <c r="A4" s="5">
        <v>2</v>
      </c>
      <c r="B4" t="s">
        <v>129</v>
      </c>
      <c r="C4" t="s">
        <v>197</v>
      </c>
      <c r="D4">
        <v>0.63646841934187803</v>
      </c>
      <c r="E4" s="8">
        <f t="shared" si="0"/>
        <v>0.21340275121636629</v>
      </c>
      <c r="F4" s="7" t="s">
        <v>256</v>
      </c>
      <c r="G4" s="16">
        <v>46225</v>
      </c>
      <c r="H4" s="7"/>
    </row>
    <row r="5" spans="1:8" x14ac:dyDescent="0.2">
      <c r="A5" s="5">
        <v>3</v>
      </c>
      <c r="B5" t="s">
        <v>130</v>
      </c>
      <c r="C5" t="s">
        <v>198</v>
      </c>
      <c r="D5">
        <v>0.62133222827487744</v>
      </c>
      <c r="E5" s="8">
        <f t="shared" si="0"/>
        <v>0.15558238672872757</v>
      </c>
      <c r="F5" s="7" t="s">
        <v>256</v>
      </c>
      <c r="G5" s="16">
        <v>46225</v>
      </c>
      <c r="H5" s="7"/>
    </row>
    <row r="6" spans="1:8" x14ac:dyDescent="0.2">
      <c r="A6" s="5">
        <v>4</v>
      </c>
      <c r="B6" t="s">
        <v>131</v>
      </c>
      <c r="C6" t="s">
        <v>199</v>
      </c>
      <c r="D6">
        <v>0.61717743474440645</v>
      </c>
      <c r="E6" s="8">
        <f t="shared" si="0"/>
        <v>0.13971104398210615</v>
      </c>
      <c r="F6" s="7" t="s">
        <v>256</v>
      </c>
      <c r="G6" s="16">
        <v>46225</v>
      </c>
      <c r="H6" s="7"/>
    </row>
    <row r="7" spans="1:8" x14ac:dyDescent="0.2">
      <c r="A7" s="5">
        <v>5</v>
      </c>
      <c r="B7" t="s">
        <v>132</v>
      </c>
      <c r="C7" t="s">
        <v>200</v>
      </c>
      <c r="D7">
        <v>0.58985622484144584</v>
      </c>
      <c r="E7" s="8">
        <f t="shared" si="0"/>
        <v>3.5343815275769123E-2</v>
      </c>
      <c r="F7" s="7" t="s">
        <v>256</v>
      </c>
      <c r="G7" s="16">
        <v>46225</v>
      </c>
      <c r="H7" s="7"/>
    </row>
    <row r="8" spans="1:8" x14ac:dyDescent="0.2">
      <c r="A8" s="5">
        <v>6</v>
      </c>
      <c r="B8" t="s">
        <v>133</v>
      </c>
      <c r="C8" t="s">
        <v>201</v>
      </c>
      <c r="D8">
        <v>0.5867154517948715</v>
      </c>
      <c r="E8" s="8">
        <f t="shared" si="0"/>
        <v>2.3346038455826668E-2</v>
      </c>
      <c r="F8" s="7" t="s">
        <v>256</v>
      </c>
      <c r="G8" s="16">
        <v>46225</v>
      </c>
      <c r="H8" s="7"/>
    </row>
    <row r="9" spans="1:8" x14ac:dyDescent="0.2">
      <c r="A9" s="5">
        <v>7</v>
      </c>
      <c r="B9" t="s">
        <v>134</v>
      </c>
      <c r="C9" t="s">
        <v>202</v>
      </c>
      <c r="D9">
        <v>0.6253248337389703</v>
      </c>
      <c r="E9" s="8">
        <f t="shared" si="0"/>
        <v>0.1708341698336916</v>
      </c>
      <c r="F9" s="7" t="s">
        <v>256</v>
      </c>
      <c r="G9" s="16">
        <v>46225</v>
      </c>
      <c r="H9" s="7"/>
    </row>
    <row r="10" spans="1:8" x14ac:dyDescent="0.2">
      <c r="A10" s="5">
        <v>8</v>
      </c>
      <c r="B10" t="s">
        <v>135</v>
      </c>
      <c r="C10" t="s">
        <v>203</v>
      </c>
      <c r="D10">
        <v>0.65612173659479411</v>
      </c>
      <c r="E10" s="8">
        <f t="shared" si="0"/>
        <v>0.28847857193801818</v>
      </c>
      <c r="F10" s="7" t="s">
        <v>256</v>
      </c>
      <c r="G10" s="16">
        <v>46225</v>
      </c>
      <c r="H10" s="7"/>
    </row>
    <row r="11" spans="1:8" x14ac:dyDescent="0.2">
      <c r="A11" s="5">
        <v>9</v>
      </c>
      <c r="B11" t="s">
        <v>136</v>
      </c>
      <c r="C11" t="s">
        <v>204</v>
      </c>
      <c r="D11">
        <v>0.60136397821255039</v>
      </c>
      <c r="E11" s="8">
        <f t="shared" si="0"/>
        <v>7.9303520290444976E-2</v>
      </c>
      <c r="F11" s="7" t="s">
        <v>256</v>
      </c>
      <c r="G11" s="16">
        <v>46225</v>
      </c>
      <c r="H11" s="7"/>
    </row>
    <row r="12" spans="1:8" x14ac:dyDescent="0.2">
      <c r="A12" s="5">
        <v>10</v>
      </c>
      <c r="B12" t="s">
        <v>137</v>
      </c>
      <c r="C12" t="s">
        <v>205</v>
      </c>
      <c r="D12">
        <v>0.61900571065136356</v>
      </c>
      <c r="E12" s="8">
        <f t="shared" si="0"/>
        <v>0.14669507179044275</v>
      </c>
      <c r="F12" s="7" t="s">
        <v>256</v>
      </c>
      <c r="G12" s="16">
        <v>46225</v>
      </c>
      <c r="H12" s="7"/>
    </row>
    <row r="13" spans="1:8" x14ac:dyDescent="0.2">
      <c r="A13" s="5">
        <v>11</v>
      </c>
      <c r="B13" t="s">
        <v>138</v>
      </c>
      <c r="C13" t="s">
        <v>206</v>
      </c>
      <c r="D13">
        <v>0.63052003228633735</v>
      </c>
      <c r="E13" s="8">
        <f t="shared" si="0"/>
        <v>0.19067986762283423</v>
      </c>
      <c r="F13" s="7" t="s">
        <v>256</v>
      </c>
      <c r="G13" s="16">
        <v>46225</v>
      </c>
      <c r="H13" s="7"/>
    </row>
    <row r="14" spans="1:8" x14ac:dyDescent="0.2">
      <c r="A14" s="5">
        <v>12</v>
      </c>
      <c r="B14" t="s">
        <v>139</v>
      </c>
      <c r="C14" t="s">
        <v>207</v>
      </c>
      <c r="D14">
        <v>0.61731783556815401</v>
      </c>
      <c r="E14" s="8">
        <f t="shared" si="0"/>
        <v>0.14024737619194108</v>
      </c>
      <c r="F14" s="7" t="s">
        <v>256</v>
      </c>
      <c r="G14" s="16">
        <v>46225</v>
      </c>
      <c r="H14" s="7"/>
    </row>
    <row r="15" spans="1:8" x14ac:dyDescent="0.2">
      <c r="A15" s="5">
        <v>13</v>
      </c>
      <c r="B15" t="s">
        <v>140</v>
      </c>
      <c r="C15" t="s">
        <v>208</v>
      </c>
      <c r="D15">
        <v>0.59032437303093555</v>
      </c>
      <c r="E15" s="8">
        <f t="shared" si="0"/>
        <v>3.713214490445204E-2</v>
      </c>
      <c r="F15" s="7" t="s">
        <v>256</v>
      </c>
      <c r="G15" s="16">
        <v>46225</v>
      </c>
      <c r="H15" s="7"/>
    </row>
    <row r="16" spans="1:8" x14ac:dyDescent="0.2">
      <c r="A16" s="5">
        <v>14</v>
      </c>
      <c r="B16" t="s">
        <v>141</v>
      </c>
      <c r="C16" t="s">
        <v>209</v>
      </c>
      <c r="D16">
        <v>0.73064730487811025</v>
      </c>
      <c r="E16" s="8">
        <f t="shared" si="0"/>
        <v>0.57316680709014234</v>
      </c>
      <c r="F16" s="7" t="s">
        <v>256</v>
      </c>
      <c r="G16" s="16">
        <v>46225</v>
      </c>
      <c r="H16" s="7"/>
    </row>
    <row r="17" spans="1:8" x14ac:dyDescent="0.2">
      <c r="A17" s="5">
        <v>15</v>
      </c>
      <c r="B17" t="s">
        <v>142</v>
      </c>
      <c r="C17" t="s">
        <v>210</v>
      </c>
      <c r="D17">
        <v>0.61133178473277583</v>
      </c>
      <c r="E17" s="8">
        <f t="shared" si="0"/>
        <v>0.11738061667423853</v>
      </c>
      <c r="F17" s="7" t="s">
        <v>256</v>
      </c>
      <c r="G17" s="16">
        <v>46225</v>
      </c>
      <c r="H17" s="7"/>
    </row>
    <row r="18" spans="1:8" x14ac:dyDescent="0.2">
      <c r="A18" s="5">
        <v>16</v>
      </c>
      <c r="B18" t="s">
        <v>143</v>
      </c>
      <c r="C18" t="s">
        <v>211</v>
      </c>
      <c r="D18">
        <v>0.60633086748995879</v>
      </c>
      <c r="E18" s="8">
        <f t="shared" si="0"/>
        <v>9.8277074939580877E-2</v>
      </c>
      <c r="F18" s="7" t="s">
        <v>256</v>
      </c>
      <c r="G18" s="16">
        <v>46225</v>
      </c>
      <c r="H18" s="7"/>
    </row>
    <row r="19" spans="1:8" x14ac:dyDescent="0.2">
      <c r="A19" s="5">
        <v>17</v>
      </c>
      <c r="B19" t="s">
        <v>144</v>
      </c>
      <c r="C19" t="s">
        <v>212</v>
      </c>
      <c r="D19">
        <v>0.58267862654510838</v>
      </c>
      <c r="E19" s="8">
        <f t="shared" si="0"/>
        <v>7.9253354347686919E-3</v>
      </c>
      <c r="F19" s="7" t="s">
        <v>256</v>
      </c>
      <c r="G19" s="16">
        <v>46225</v>
      </c>
      <c r="H19" s="7"/>
    </row>
    <row r="20" spans="1:8" x14ac:dyDescent="0.2">
      <c r="A20" s="5">
        <v>18</v>
      </c>
      <c r="B20" t="s">
        <v>145</v>
      </c>
      <c r="C20" t="s">
        <v>213</v>
      </c>
      <c r="D20">
        <v>0.62301954683060956</v>
      </c>
      <c r="E20" s="8">
        <f t="shared" si="0"/>
        <v>0.1620279563880514</v>
      </c>
      <c r="F20" s="7" t="s">
        <v>256</v>
      </c>
      <c r="G20" s="16">
        <v>46225</v>
      </c>
      <c r="H20" s="7"/>
    </row>
    <row r="21" spans="1:8" x14ac:dyDescent="0.2">
      <c r="A21" s="5">
        <v>19</v>
      </c>
      <c r="B21" t="s">
        <v>146</v>
      </c>
      <c r="C21" t="s">
        <v>214</v>
      </c>
      <c r="D21">
        <v>0.59701728691444989</v>
      </c>
      <c r="E21" s="8">
        <f t="shared" si="0"/>
        <v>6.2699126618423112E-2</v>
      </c>
      <c r="F21" s="7" t="s">
        <v>256</v>
      </c>
      <c r="G21" s="16">
        <v>46225</v>
      </c>
      <c r="H21" s="7"/>
    </row>
    <row r="22" spans="1:8" x14ac:dyDescent="0.2">
      <c r="A22" s="5">
        <v>20</v>
      </c>
      <c r="B22" t="s">
        <v>147</v>
      </c>
      <c r="C22" t="s">
        <v>215</v>
      </c>
      <c r="D22">
        <v>0.60281062178495093</v>
      </c>
      <c r="E22" s="8">
        <f t="shared" si="0"/>
        <v>8.482970969104392E-2</v>
      </c>
      <c r="F22" s="7" t="s">
        <v>256</v>
      </c>
      <c r="G22" s="16">
        <v>46225</v>
      </c>
      <c r="H22" s="7"/>
    </row>
    <row r="23" spans="1:8" x14ac:dyDescent="0.2">
      <c r="A23" s="5">
        <v>21</v>
      </c>
      <c r="B23" t="s">
        <v>148</v>
      </c>
      <c r="C23" t="s">
        <v>216</v>
      </c>
      <c r="D23">
        <v>0.61525132424934004</v>
      </c>
      <c r="E23" s="8">
        <f t="shared" si="0"/>
        <v>0.13235328730638554</v>
      </c>
      <c r="F23" s="7" t="s">
        <v>256</v>
      </c>
      <c r="G23" s="16">
        <v>46225</v>
      </c>
      <c r="H23" s="7"/>
    </row>
    <row r="24" spans="1:8" x14ac:dyDescent="0.2">
      <c r="A24" s="5">
        <v>22</v>
      </c>
      <c r="B24" t="s">
        <v>149</v>
      </c>
      <c r="C24" t="s">
        <v>217</v>
      </c>
      <c r="D24">
        <v>0.63195110918886976</v>
      </c>
      <c r="E24" s="8">
        <f t="shared" si="0"/>
        <v>0.19614659222666561</v>
      </c>
      <c r="F24" s="7" t="s">
        <v>256</v>
      </c>
      <c r="G24" s="16">
        <v>46225</v>
      </c>
      <c r="H24" s="7"/>
    </row>
    <row r="25" spans="1:8" x14ac:dyDescent="0.2">
      <c r="A25" s="5">
        <v>23</v>
      </c>
      <c r="B25" t="s">
        <v>150</v>
      </c>
      <c r="C25" t="s">
        <v>218</v>
      </c>
      <c r="D25">
        <v>0.58136561572911061</v>
      </c>
      <c r="E25" s="8">
        <f t="shared" si="0"/>
        <v>2.9096241754995996E-3</v>
      </c>
      <c r="F25" s="7" t="s">
        <v>256</v>
      </c>
      <c r="G25" s="16">
        <v>46225</v>
      </c>
      <c r="H25" s="7"/>
    </row>
    <row r="26" spans="1:8" x14ac:dyDescent="0.2">
      <c r="A26" s="5">
        <v>24</v>
      </c>
      <c r="B26" t="s">
        <v>151</v>
      </c>
      <c r="C26" t="s">
        <v>219</v>
      </c>
      <c r="D26">
        <v>0.58972308666346751</v>
      </c>
      <c r="E26" s="8">
        <f t="shared" si="0"/>
        <v>3.4835226427765591E-2</v>
      </c>
      <c r="F26" s="7" t="s">
        <v>256</v>
      </c>
      <c r="G26" s="16">
        <v>46225</v>
      </c>
      <c r="H26" s="7"/>
    </row>
    <row r="27" spans="1:8" x14ac:dyDescent="0.2">
      <c r="A27" s="5">
        <v>25</v>
      </c>
      <c r="B27" t="s">
        <v>152</v>
      </c>
      <c r="C27" t="s">
        <v>220</v>
      </c>
      <c r="D27">
        <v>0.71770930713817616</v>
      </c>
      <c r="E27" s="8">
        <f t="shared" si="0"/>
        <v>0.52374355775668402</v>
      </c>
      <c r="F27" s="7" t="s">
        <v>256</v>
      </c>
      <c r="G27" s="16">
        <v>46225</v>
      </c>
      <c r="H27" s="7"/>
    </row>
    <row r="28" spans="1:8" x14ac:dyDescent="0.2">
      <c r="A28" s="5">
        <v>26</v>
      </c>
      <c r="B28" t="s">
        <v>153</v>
      </c>
      <c r="C28" t="s">
        <v>221</v>
      </c>
      <c r="D28">
        <v>0.58853143861976365</v>
      </c>
      <c r="E28" s="8">
        <f t="shared" si="0"/>
        <v>3.0283121877621812E-2</v>
      </c>
      <c r="F28" s="7" t="s">
        <v>256</v>
      </c>
      <c r="G28" s="16">
        <v>46225</v>
      </c>
      <c r="H28" s="7"/>
    </row>
    <row r="29" spans="1:8" x14ac:dyDescent="0.2">
      <c r="A29" s="5">
        <v>27</v>
      </c>
      <c r="B29" t="s">
        <v>154</v>
      </c>
      <c r="C29" t="s">
        <v>222</v>
      </c>
      <c r="D29">
        <v>0.58060393551758338</v>
      </c>
      <c r="E29" s="8">
        <f t="shared" si="0"/>
        <v>0</v>
      </c>
      <c r="F29" s="7" t="s">
        <v>256</v>
      </c>
      <c r="G29" s="16">
        <v>46225</v>
      </c>
      <c r="H29" s="7"/>
    </row>
    <row r="30" spans="1:8" x14ac:dyDescent="0.2">
      <c r="A30" s="5">
        <v>28</v>
      </c>
      <c r="B30" t="s">
        <v>155</v>
      </c>
      <c r="C30" t="s">
        <v>223</v>
      </c>
      <c r="D30">
        <v>0.84238352132833227</v>
      </c>
      <c r="E30" s="8">
        <f t="shared" si="0"/>
        <v>1</v>
      </c>
      <c r="F30" s="7" t="s">
        <v>256</v>
      </c>
      <c r="G30" s="16">
        <v>46225</v>
      </c>
      <c r="H30" s="7"/>
    </row>
    <row r="31" spans="1:8" x14ac:dyDescent="0.2">
      <c r="A31" s="5">
        <v>29</v>
      </c>
      <c r="B31" t="s">
        <v>156</v>
      </c>
      <c r="C31" t="s">
        <v>224</v>
      </c>
      <c r="D31">
        <v>0.5864627738757342</v>
      </c>
      <c r="E31" s="8">
        <f t="shared" si="0"/>
        <v>2.2380806891437333E-2</v>
      </c>
      <c r="F31" s="7" t="s">
        <v>256</v>
      </c>
      <c r="G31" s="16">
        <v>46225</v>
      </c>
      <c r="H31" s="7"/>
    </row>
    <row r="32" spans="1:8" x14ac:dyDescent="0.2">
      <c r="A32" s="5">
        <v>30</v>
      </c>
      <c r="B32" t="s">
        <v>157</v>
      </c>
      <c r="C32" t="s">
        <v>225</v>
      </c>
      <c r="D32">
        <v>0.8189150637625876</v>
      </c>
      <c r="E32" s="8">
        <f t="shared" si="0"/>
        <v>0.91035031439498504</v>
      </c>
      <c r="F32" s="7" t="s">
        <v>256</v>
      </c>
      <c r="G32" s="16">
        <v>46225</v>
      </c>
      <c r="H32" s="7"/>
    </row>
    <row r="33" spans="1:8" x14ac:dyDescent="0.2">
      <c r="A33" s="5">
        <v>31</v>
      </c>
      <c r="B33" t="s">
        <v>158</v>
      </c>
      <c r="C33" t="s">
        <v>226</v>
      </c>
      <c r="D33">
        <v>0.73298146274659548</v>
      </c>
      <c r="E33" s="8">
        <f t="shared" si="0"/>
        <v>0.58208330782206985</v>
      </c>
      <c r="F33" s="7" t="s">
        <v>256</v>
      </c>
      <c r="G33" s="16">
        <v>46225</v>
      </c>
      <c r="H33" s="7"/>
    </row>
    <row r="34" spans="1:8" x14ac:dyDescent="0.2">
      <c r="A34" s="5">
        <v>32</v>
      </c>
      <c r="B34" t="s">
        <v>159</v>
      </c>
      <c r="C34" t="s">
        <v>227</v>
      </c>
      <c r="D34">
        <v>0.61248095394858326</v>
      </c>
      <c r="E34" s="8">
        <f t="shared" si="0"/>
        <v>0.12177045178016697</v>
      </c>
      <c r="F34" s="7" t="s">
        <v>256</v>
      </c>
      <c r="G34" s="16">
        <v>46225</v>
      </c>
      <c r="H34" s="7"/>
    </row>
    <row r="35" spans="1:8" x14ac:dyDescent="0.2">
      <c r="A35" s="5">
        <v>33</v>
      </c>
      <c r="B35" t="s">
        <v>160</v>
      </c>
      <c r="C35" t="s">
        <v>228</v>
      </c>
      <c r="D35">
        <v>0.61999673706035285</v>
      </c>
      <c r="E35" s="8">
        <f t="shared" ref="E35:E61" si="1">IF(OR(D35="",COUNT($D$3:$D$61)&lt;2),"",(D35-MIN($D$3:$D$61))/(MAX($D$3:$D$61)-MIN($D$3:$D$61)))</f>
        <v>0.1504808001768638</v>
      </c>
      <c r="F35" s="7" t="s">
        <v>256</v>
      </c>
      <c r="G35" s="16">
        <v>46225</v>
      </c>
      <c r="H35" s="7"/>
    </row>
    <row r="36" spans="1:8" x14ac:dyDescent="0.2">
      <c r="A36" s="5">
        <v>34</v>
      </c>
      <c r="B36" t="s">
        <v>161</v>
      </c>
      <c r="C36" t="s">
        <v>229</v>
      </c>
      <c r="D36">
        <v>0.65474368160107577</v>
      </c>
      <c r="E36" s="8">
        <f t="shared" si="1"/>
        <v>0.28321439142734001</v>
      </c>
      <c r="F36" s="7" t="s">
        <v>256</v>
      </c>
      <c r="G36" s="16">
        <v>46225</v>
      </c>
      <c r="H36" s="7"/>
    </row>
    <row r="37" spans="1:8" x14ac:dyDescent="0.2">
      <c r="A37" s="5">
        <v>35</v>
      </c>
      <c r="B37" t="s">
        <v>162</v>
      </c>
      <c r="C37" t="s">
        <v>230</v>
      </c>
      <c r="D37">
        <v>0.58317981776620997</v>
      </c>
      <c r="E37" s="8">
        <f t="shared" si="1"/>
        <v>9.8398896944118588E-3</v>
      </c>
      <c r="F37" s="7" t="s">
        <v>256</v>
      </c>
      <c r="G37" s="16">
        <v>46225</v>
      </c>
      <c r="H37" s="7"/>
    </row>
    <row r="38" spans="1:8" x14ac:dyDescent="0.2">
      <c r="A38" s="5">
        <v>36</v>
      </c>
      <c r="B38" t="s">
        <v>163</v>
      </c>
      <c r="C38" t="s">
        <v>231</v>
      </c>
      <c r="D38">
        <v>0.62689438693101329</v>
      </c>
      <c r="E38" s="8">
        <f t="shared" si="1"/>
        <v>0.17682987491200006</v>
      </c>
      <c r="F38" s="7" t="s">
        <v>256</v>
      </c>
      <c r="G38" s="16">
        <v>46225</v>
      </c>
      <c r="H38" s="7"/>
    </row>
    <row r="39" spans="1:8" x14ac:dyDescent="0.2">
      <c r="A39" s="5">
        <v>37</v>
      </c>
      <c r="B39" t="s">
        <v>164</v>
      </c>
      <c r="C39" t="s">
        <v>232</v>
      </c>
      <c r="D39">
        <v>0.60846446126897968</v>
      </c>
      <c r="E39" s="8">
        <f t="shared" si="1"/>
        <v>0.10642741933107729</v>
      </c>
      <c r="F39" s="7" t="s">
        <v>256</v>
      </c>
      <c r="G39" s="16">
        <v>46225</v>
      </c>
      <c r="H39" s="7"/>
    </row>
    <row r="40" spans="1:8" x14ac:dyDescent="0.2">
      <c r="A40" s="5">
        <v>38</v>
      </c>
      <c r="B40" t="s">
        <v>165</v>
      </c>
      <c r="C40" t="s">
        <v>233</v>
      </c>
      <c r="D40">
        <v>0.60136853048042604</v>
      </c>
      <c r="E40" s="8">
        <f t="shared" si="1"/>
        <v>7.9320909988199892E-2</v>
      </c>
      <c r="F40" s="7" t="s">
        <v>256</v>
      </c>
      <c r="G40" s="16">
        <v>46225</v>
      </c>
      <c r="H40" s="7"/>
    </row>
    <row r="41" spans="1:8" x14ac:dyDescent="0.2">
      <c r="A41" s="5">
        <v>39</v>
      </c>
      <c r="B41" t="s">
        <v>166</v>
      </c>
      <c r="C41" t="s">
        <v>234</v>
      </c>
      <c r="D41">
        <v>0.61066581620674221</v>
      </c>
      <c r="E41" s="8">
        <f t="shared" si="1"/>
        <v>0.11483661186205628</v>
      </c>
      <c r="F41" s="7" t="s">
        <v>256</v>
      </c>
      <c r="G41" s="16">
        <v>46225</v>
      </c>
      <c r="H41" s="7"/>
    </row>
    <row r="42" spans="1:8" x14ac:dyDescent="0.2">
      <c r="A42" s="5">
        <v>40</v>
      </c>
      <c r="B42" t="s">
        <v>167</v>
      </c>
      <c r="C42" t="s">
        <v>235</v>
      </c>
      <c r="D42">
        <v>0.60068911700702277</v>
      </c>
      <c r="E42" s="8">
        <f t="shared" si="1"/>
        <v>7.672554537526001E-2</v>
      </c>
      <c r="F42" s="7" t="s">
        <v>256</v>
      </c>
      <c r="G42" s="16">
        <v>46225</v>
      </c>
      <c r="H42" s="7"/>
    </row>
    <row r="43" spans="1:8" x14ac:dyDescent="0.2">
      <c r="A43" s="5">
        <v>41</v>
      </c>
      <c r="B43" t="s">
        <v>168</v>
      </c>
      <c r="C43" t="s">
        <v>236</v>
      </c>
      <c r="D43">
        <v>0.65227394456588306</v>
      </c>
      <c r="E43" s="8">
        <f t="shared" si="1"/>
        <v>0.27377997725198039</v>
      </c>
      <c r="F43" s="7" t="s">
        <v>256</v>
      </c>
      <c r="G43" s="16">
        <v>46225</v>
      </c>
      <c r="H43" s="7"/>
    </row>
    <row r="44" spans="1:8" x14ac:dyDescent="0.2">
      <c r="A44" s="5">
        <v>42</v>
      </c>
      <c r="B44" t="s">
        <v>169</v>
      </c>
      <c r="C44" t="s">
        <v>237</v>
      </c>
      <c r="D44">
        <v>0.61308025154161561</v>
      </c>
      <c r="E44" s="8">
        <f t="shared" si="1"/>
        <v>0.12405977312345003</v>
      </c>
      <c r="F44" s="7" t="s">
        <v>256</v>
      </c>
      <c r="G44" s="16">
        <v>46225</v>
      </c>
      <c r="H44" s="7"/>
    </row>
    <row r="45" spans="1:8" x14ac:dyDescent="0.2">
      <c r="A45" s="5">
        <v>43</v>
      </c>
      <c r="B45" t="s">
        <v>170</v>
      </c>
      <c r="C45" t="s">
        <v>238</v>
      </c>
      <c r="D45">
        <v>0.60674203764582524</v>
      </c>
      <c r="E45" s="8">
        <f t="shared" si="1"/>
        <v>9.9847748048383547E-2</v>
      </c>
      <c r="F45" s="7" t="s">
        <v>256</v>
      </c>
      <c r="G45" s="16">
        <v>46225</v>
      </c>
      <c r="H45" s="7"/>
    </row>
    <row r="46" spans="1:8" x14ac:dyDescent="0.2">
      <c r="A46" s="5">
        <v>44</v>
      </c>
      <c r="B46" t="s">
        <v>171</v>
      </c>
      <c r="C46" t="s">
        <v>239</v>
      </c>
      <c r="D46">
        <v>0.610520892964871</v>
      </c>
      <c r="E46" s="8">
        <f t="shared" si="1"/>
        <v>0.11428300398074509</v>
      </c>
      <c r="F46" s="7" t="s">
        <v>256</v>
      </c>
      <c r="G46" s="16">
        <v>46225</v>
      </c>
      <c r="H46" s="7"/>
    </row>
    <row r="47" spans="1:8" x14ac:dyDescent="0.2">
      <c r="A47" s="5">
        <v>45</v>
      </c>
      <c r="B47" t="s">
        <v>172</v>
      </c>
      <c r="C47" t="s">
        <v>240</v>
      </c>
      <c r="D47">
        <v>0.6222301519640967</v>
      </c>
      <c r="E47" s="8">
        <f t="shared" si="1"/>
        <v>0.15901246202065047</v>
      </c>
      <c r="F47" s="7" t="s">
        <v>256</v>
      </c>
      <c r="G47" s="16">
        <v>46225</v>
      </c>
      <c r="H47" s="7"/>
    </row>
    <row r="48" spans="1:8" x14ac:dyDescent="0.2">
      <c r="A48" s="5">
        <v>46</v>
      </c>
      <c r="B48" t="s">
        <v>173</v>
      </c>
      <c r="C48" t="s">
        <v>241</v>
      </c>
      <c r="D48">
        <v>0.60063140049740849</v>
      </c>
      <c r="E48" s="8">
        <f t="shared" si="1"/>
        <v>7.6505067871502297E-2</v>
      </c>
      <c r="F48" s="7" t="s">
        <v>256</v>
      </c>
      <c r="G48" s="16">
        <v>46225</v>
      </c>
      <c r="H48" s="7"/>
    </row>
    <row r="49" spans="1:8" x14ac:dyDescent="0.2">
      <c r="A49" s="5">
        <v>47</v>
      </c>
      <c r="B49" t="s">
        <v>174</v>
      </c>
      <c r="C49" t="s">
        <v>242</v>
      </c>
      <c r="D49">
        <v>0.58710173371001551</v>
      </c>
      <c r="E49" s="8">
        <f t="shared" si="1"/>
        <v>2.4821638296615104E-2</v>
      </c>
      <c r="F49" s="7" t="s">
        <v>256</v>
      </c>
      <c r="G49" s="16">
        <v>46225</v>
      </c>
      <c r="H49" s="7"/>
    </row>
    <row r="50" spans="1:8" x14ac:dyDescent="0.2">
      <c r="A50" s="5">
        <v>48</v>
      </c>
      <c r="B50" t="s">
        <v>175</v>
      </c>
      <c r="C50" t="s">
        <v>243</v>
      </c>
      <c r="D50">
        <v>0.60784141705433492</v>
      </c>
      <c r="E50" s="8">
        <f t="shared" si="1"/>
        <v>0.10404738571342466</v>
      </c>
      <c r="F50" s="7" t="s">
        <v>256</v>
      </c>
      <c r="G50" s="16">
        <v>46225</v>
      </c>
      <c r="H50" s="7"/>
    </row>
    <row r="51" spans="1:8" x14ac:dyDescent="0.2">
      <c r="A51" s="5">
        <v>49</v>
      </c>
      <c r="B51" t="s">
        <v>176</v>
      </c>
      <c r="C51" t="s">
        <v>244</v>
      </c>
      <c r="D51">
        <v>0.63002925036457602</v>
      </c>
      <c r="E51" s="8">
        <f t="shared" si="1"/>
        <v>0.1888050769654904</v>
      </c>
      <c r="F51" s="7" t="s">
        <v>256</v>
      </c>
      <c r="G51" s="16">
        <v>46225</v>
      </c>
      <c r="H51" s="7"/>
    </row>
    <row r="52" spans="1:8" x14ac:dyDescent="0.2">
      <c r="A52" s="5">
        <v>50</v>
      </c>
      <c r="B52" t="s">
        <v>177</v>
      </c>
      <c r="C52" t="s">
        <v>245</v>
      </c>
      <c r="D52">
        <v>0.61229001033584718</v>
      </c>
      <c r="E52" s="8">
        <f t="shared" si="1"/>
        <v>0.12104104573368434</v>
      </c>
      <c r="F52" s="7" t="s">
        <v>256</v>
      </c>
      <c r="G52" s="16">
        <v>46225</v>
      </c>
      <c r="H52" s="7"/>
    </row>
    <row r="53" spans="1:8" x14ac:dyDescent="0.2">
      <c r="A53" s="5">
        <v>51</v>
      </c>
      <c r="B53" t="s">
        <v>178</v>
      </c>
      <c r="C53" t="s">
        <v>246</v>
      </c>
      <c r="D53">
        <v>0.62902941850425209</v>
      </c>
      <c r="E53" s="8">
        <f t="shared" si="1"/>
        <v>0.18498571168829589</v>
      </c>
      <c r="F53" s="7" t="s">
        <v>256</v>
      </c>
      <c r="G53" s="16">
        <v>46225</v>
      </c>
      <c r="H53" s="7"/>
    </row>
    <row r="54" spans="1:8" x14ac:dyDescent="0.2">
      <c r="A54" s="5">
        <v>52</v>
      </c>
      <c r="B54" t="s">
        <v>179</v>
      </c>
      <c r="C54" t="s">
        <v>247</v>
      </c>
      <c r="D54">
        <v>0.58336166259677091</v>
      </c>
      <c r="E54" s="8">
        <f t="shared" si="1"/>
        <v>1.0534538324089205E-2</v>
      </c>
      <c r="F54" s="7" t="s">
        <v>256</v>
      </c>
      <c r="G54" s="16">
        <v>46225</v>
      </c>
      <c r="H54" s="7"/>
    </row>
    <row r="55" spans="1:8" x14ac:dyDescent="0.2">
      <c r="A55" s="5">
        <v>53</v>
      </c>
      <c r="B55" t="s">
        <v>180</v>
      </c>
      <c r="C55" t="s">
        <v>248</v>
      </c>
      <c r="D55">
        <v>0.58813963640489442</v>
      </c>
      <c r="E55" s="8">
        <f t="shared" si="1"/>
        <v>2.8786434450083137E-2</v>
      </c>
      <c r="F55" s="7" t="s">
        <v>256</v>
      </c>
      <c r="G55" s="16">
        <v>46225</v>
      </c>
      <c r="H55" s="7"/>
    </row>
    <row r="56" spans="1:8" x14ac:dyDescent="0.2">
      <c r="A56" s="5">
        <v>54</v>
      </c>
      <c r="B56" t="s">
        <v>181</v>
      </c>
      <c r="C56" t="s">
        <v>249</v>
      </c>
      <c r="D56">
        <v>0.59604267813808964</v>
      </c>
      <c r="E56" s="8">
        <f t="shared" si="1"/>
        <v>5.8976113712959868E-2</v>
      </c>
      <c r="F56" s="7" t="s">
        <v>256</v>
      </c>
      <c r="G56" s="16">
        <v>46225</v>
      </c>
      <c r="H56" s="7"/>
    </row>
    <row r="57" spans="1:8" x14ac:dyDescent="0.2">
      <c r="A57" s="5">
        <v>55</v>
      </c>
      <c r="B57" t="s">
        <v>182</v>
      </c>
      <c r="C57" t="s">
        <v>250</v>
      </c>
      <c r="D57">
        <v>0.58434239723696857</v>
      </c>
      <c r="E57" s="8">
        <f t="shared" si="1"/>
        <v>1.4280952075796601E-2</v>
      </c>
      <c r="F57" s="7" t="s">
        <v>256</v>
      </c>
      <c r="G57" s="16">
        <v>46225</v>
      </c>
      <c r="H57" s="7"/>
    </row>
    <row r="58" spans="1:8" x14ac:dyDescent="0.2">
      <c r="A58" s="5">
        <v>56</v>
      </c>
      <c r="B58" t="s">
        <v>183</v>
      </c>
      <c r="C58" t="s">
        <v>251</v>
      </c>
      <c r="D58">
        <v>0.60554965477261502</v>
      </c>
      <c r="E58" s="8">
        <f t="shared" si="1"/>
        <v>9.5292836443961346E-2</v>
      </c>
      <c r="F58" s="7" t="s">
        <v>256</v>
      </c>
      <c r="G58" s="16">
        <v>46225</v>
      </c>
      <c r="H58" s="7"/>
    </row>
    <row r="59" spans="1:8" x14ac:dyDescent="0.2">
      <c r="A59" s="5">
        <v>57</v>
      </c>
      <c r="B59" t="s">
        <v>184</v>
      </c>
      <c r="C59" t="s">
        <v>252</v>
      </c>
      <c r="D59">
        <v>0.61942659945582212</v>
      </c>
      <c r="E59" s="8">
        <f t="shared" si="1"/>
        <v>0.14830287021045724</v>
      </c>
      <c r="F59" s="7" t="s">
        <v>256</v>
      </c>
      <c r="G59" s="16">
        <v>46225</v>
      </c>
      <c r="H59" s="7"/>
    </row>
    <row r="60" spans="1:8" x14ac:dyDescent="0.2">
      <c r="A60" s="5">
        <v>58</v>
      </c>
      <c r="B60" t="s">
        <v>185</v>
      </c>
      <c r="C60" t="s">
        <v>253</v>
      </c>
      <c r="D60">
        <v>0.60937767798160658</v>
      </c>
      <c r="E60" s="8">
        <f t="shared" si="1"/>
        <v>0.10991591408821659</v>
      </c>
      <c r="F60" s="7" t="s">
        <v>256</v>
      </c>
      <c r="G60" s="16">
        <v>46225</v>
      </c>
      <c r="H60" s="7"/>
    </row>
    <row r="61" spans="1:8" x14ac:dyDescent="0.2">
      <c r="A61" s="5">
        <v>59</v>
      </c>
      <c r="B61" t="s">
        <v>186</v>
      </c>
      <c r="C61" t="s">
        <v>254</v>
      </c>
      <c r="D61">
        <v>0.62400500700724593</v>
      </c>
      <c r="E61" s="8">
        <f t="shared" si="1"/>
        <v>0.16579242172473657</v>
      </c>
      <c r="F61" s="7" t="s">
        <v>256</v>
      </c>
      <c r="G61" s="16">
        <v>46225</v>
      </c>
      <c r="H61" s="7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zoomScaleNormal="100" workbookViewId="0">
      <pane xSplit="2" ySplit="2" topLeftCell="C16" activePane="bottomRight" state="frozen"/>
      <selection pane="topRight" activeCell="C1" sqref="C1"/>
      <selection pane="bottomLeft" activeCell="A3" sqref="A3"/>
      <selection pane="bottomRight" activeCell="F4" sqref="F4:F61"/>
    </sheetView>
  </sheetViews>
  <sheetFormatPr baseColWidth="10" defaultColWidth="8.6640625" defaultRowHeight="15" x14ac:dyDescent="0.2"/>
  <cols>
    <col min="1" max="1" width="5" customWidth="1"/>
    <col min="2" max="3" width="26" customWidth="1"/>
    <col min="4" max="5" width="16" customWidth="1"/>
    <col min="6" max="6" width="22" customWidth="1"/>
    <col min="7" max="7" width="14" customWidth="1"/>
    <col min="8" max="8" width="28" customWidth="1"/>
  </cols>
  <sheetData>
    <row r="1" spans="1:8" ht="31.5" customHeight="1" x14ac:dyDescent="0.2">
      <c r="A1" s="18" t="s">
        <v>104</v>
      </c>
      <c r="B1" s="18"/>
      <c r="C1" s="18"/>
      <c r="D1" s="18"/>
      <c r="E1" s="18"/>
      <c r="F1" s="18"/>
      <c r="G1" s="18"/>
      <c r="H1" s="18"/>
    </row>
    <row r="2" spans="1:8" ht="27.75" customHeight="1" x14ac:dyDescent="0.2">
      <c r="A2" s="4" t="s">
        <v>92</v>
      </c>
      <c r="B2" s="4" t="s">
        <v>93</v>
      </c>
      <c r="C2" s="4" t="s">
        <v>255</v>
      </c>
      <c r="D2" s="4" t="s">
        <v>105</v>
      </c>
      <c r="E2" s="4" t="s">
        <v>101</v>
      </c>
      <c r="F2" s="4" t="s">
        <v>102</v>
      </c>
      <c r="G2" s="4" t="s">
        <v>106</v>
      </c>
      <c r="H2" s="4" t="s">
        <v>98</v>
      </c>
    </row>
    <row r="3" spans="1:8" x14ac:dyDescent="0.2">
      <c r="A3" s="5">
        <v>1</v>
      </c>
      <c r="B3" t="s">
        <v>128</v>
      </c>
      <c r="C3" t="s">
        <v>196</v>
      </c>
      <c r="D3">
        <v>13992.45154882247</v>
      </c>
      <c r="E3" s="8">
        <f>IF(OR(C3="",COUNT($D$3:$D$61)&lt;2),"",(D3-MIN($D$3:$D$61))/(MAX($D$3:$D$61)-MIN($D$3:$D$61)))</f>
        <v>0.18343748296072396</v>
      </c>
      <c r="F3" s="7" t="s">
        <v>257</v>
      </c>
      <c r="G3" s="7"/>
      <c r="H3" s="7"/>
    </row>
    <row r="4" spans="1:8" x14ac:dyDescent="0.2">
      <c r="A4" s="5">
        <v>2</v>
      </c>
      <c r="B4" t="s">
        <v>129</v>
      </c>
      <c r="C4" t="s">
        <v>197</v>
      </c>
      <c r="D4">
        <v>40431.958111644053</v>
      </c>
      <c r="E4" s="8">
        <f t="shared" ref="E4:E61" si="0">IF(OR(C4="",COUNT($D$3:$D$61)&lt;2),"",(D4-MIN($D$3:$D$61))/(MAX($D$3:$D$61)-MIN($D$3:$D$61)))</f>
        <v>0.92429769877907131</v>
      </c>
      <c r="F4" s="7" t="s">
        <v>257</v>
      </c>
      <c r="G4" s="7"/>
      <c r="H4" s="7"/>
    </row>
    <row r="5" spans="1:8" x14ac:dyDescent="0.2">
      <c r="A5" s="5">
        <v>3</v>
      </c>
      <c r="B5" t="s">
        <v>130</v>
      </c>
      <c r="C5" t="s">
        <v>198</v>
      </c>
      <c r="D5">
        <v>36796.662779185237</v>
      </c>
      <c r="E5" s="8">
        <f t="shared" si="0"/>
        <v>0.82243325292908609</v>
      </c>
      <c r="F5" s="7" t="s">
        <v>257</v>
      </c>
      <c r="G5" s="7"/>
      <c r="H5" s="7"/>
    </row>
    <row r="6" spans="1:8" x14ac:dyDescent="0.2">
      <c r="A6" s="5">
        <v>4</v>
      </c>
      <c r="B6" t="s">
        <v>131</v>
      </c>
      <c r="C6" t="s">
        <v>199</v>
      </c>
      <c r="D6">
        <v>17229.400200110831</v>
      </c>
      <c r="E6" s="8">
        <f t="shared" si="0"/>
        <v>0.27413987450076027</v>
      </c>
      <c r="F6" s="7" t="s">
        <v>257</v>
      </c>
      <c r="G6" s="7"/>
      <c r="H6" s="7"/>
    </row>
    <row r="7" spans="1:8" x14ac:dyDescent="0.2">
      <c r="A7" s="5">
        <v>5</v>
      </c>
      <c r="B7" t="s">
        <v>132</v>
      </c>
      <c r="C7" t="s">
        <v>200</v>
      </c>
      <c r="D7">
        <v>19996.005358932442</v>
      </c>
      <c r="E7" s="8">
        <f t="shared" si="0"/>
        <v>0.35166279234261255</v>
      </c>
      <c r="F7" s="7" t="s">
        <v>257</v>
      </c>
      <c r="G7" s="7"/>
      <c r="H7" s="7"/>
    </row>
    <row r="8" spans="1:8" x14ac:dyDescent="0.2">
      <c r="A8" s="5">
        <v>6</v>
      </c>
      <c r="B8" t="s">
        <v>133</v>
      </c>
      <c r="C8" t="s">
        <v>201</v>
      </c>
      <c r="D8">
        <v>43133.589873231584</v>
      </c>
      <c r="E8" s="8">
        <f t="shared" si="0"/>
        <v>1</v>
      </c>
      <c r="F8" s="7" t="s">
        <v>257</v>
      </c>
      <c r="G8" s="7"/>
      <c r="H8" s="7"/>
    </row>
    <row r="9" spans="1:8" x14ac:dyDescent="0.2">
      <c r="A9" s="5">
        <v>7</v>
      </c>
      <c r="B9" t="s">
        <v>134</v>
      </c>
      <c r="C9" t="s">
        <v>202</v>
      </c>
      <c r="D9">
        <v>20411.880792898039</v>
      </c>
      <c r="E9" s="8">
        <f t="shared" si="0"/>
        <v>0.36331601904066863</v>
      </c>
      <c r="F9" s="7" t="s">
        <v>257</v>
      </c>
      <c r="G9" s="7"/>
      <c r="H9" s="7"/>
    </row>
    <row r="10" spans="1:8" x14ac:dyDescent="0.2">
      <c r="A10" s="5">
        <v>8</v>
      </c>
      <c r="B10" t="s">
        <v>135</v>
      </c>
      <c r="C10" t="s">
        <v>203</v>
      </c>
      <c r="D10">
        <v>28843.822886439058</v>
      </c>
      <c r="E10" s="8">
        <f t="shared" si="0"/>
        <v>0.59958708651863712</v>
      </c>
      <c r="F10" s="7" t="s">
        <v>257</v>
      </c>
      <c r="G10" s="7"/>
      <c r="H10" s="7"/>
    </row>
    <row r="11" spans="1:8" x14ac:dyDescent="0.2">
      <c r="A11" s="5">
        <v>9</v>
      </c>
      <c r="B11" t="s">
        <v>136</v>
      </c>
      <c r="C11" t="s">
        <v>204</v>
      </c>
      <c r="D11">
        <v>25758.2562114055</v>
      </c>
      <c r="E11" s="8">
        <f t="shared" si="0"/>
        <v>0.51312656247838406</v>
      </c>
      <c r="F11" s="7" t="s">
        <v>257</v>
      </c>
      <c r="G11" s="7"/>
      <c r="H11" s="7"/>
    </row>
    <row r="12" spans="1:8" x14ac:dyDescent="0.2">
      <c r="A12" s="5">
        <v>10</v>
      </c>
      <c r="B12" t="s">
        <v>137</v>
      </c>
      <c r="C12" t="s">
        <v>205</v>
      </c>
      <c r="D12">
        <v>20771.714069816819</v>
      </c>
      <c r="E12" s="8">
        <f t="shared" si="0"/>
        <v>0.37339889099454754</v>
      </c>
      <c r="F12" s="7" t="s">
        <v>257</v>
      </c>
      <c r="G12" s="7"/>
      <c r="H12" s="7"/>
    </row>
    <row r="13" spans="1:8" x14ac:dyDescent="0.2">
      <c r="A13" s="5">
        <v>11</v>
      </c>
      <c r="B13" t="s">
        <v>138</v>
      </c>
      <c r="C13" t="s">
        <v>206</v>
      </c>
      <c r="D13">
        <v>31662.23821808906</v>
      </c>
      <c r="E13" s="8">
        <f t="shared" si="0"/>
        <v>0.67856177486656988</v>
      </c>
      <c r="F13" s="7" t="s">
        <v>257</v>
      </c>
      <c r="G13" s="7"/>
      <c r="H13" s="7"/>
    </row>
    <row r="14" spans="1:8" x14ac:dyDescent="0.2">
      <c r="A14" s="5">
        <v>12</v>
      </c>
      <c r="B14" t="s">
        <v>139</v>
      </c>
      <c r="C14" t="s">
        <v>207</v>
      </c>
      <c r="D14">
        <v>26457.732517274791</v>
      </c>
      <c r="E14" s="8">
        <f t="shared" si="0"/>
        <v>0.53272655636234101</v>
      </c>
      <c r="F14" s="7" t="s">
        <v>257</v>
      </c>
      <c r="G14" s="7"/>
      <c r="H14" s="7"/>
    </row>
    <row r="15" spans="1:8" x14ac:dyDescent="0.2">
      <c r="A15" s="5">
        <v>13</v>
      </c>
      <c r="B15" t="s">
        <v>140</v>
      </c>
      <c r="C15" t="s">
        <v>208</v>
      </c>
      <c r="D15">
        <v>13260.071501957071</v>
      </c>
      <c r="E15" s="8">
        <f t="shared" si="0"/>
        <v>0.16291549484069126</v>
      </c>
      <c r="F15" s="7" t="s">
        <v>257</v>
      </c>
      <c r="G15" s="7"/>
      <c r="H15" s="7"/>
    </row>
    <row r="16" spans="1:8" x14ac:dyDescent="0.2">
      <c r="A16" s="5">
        <v>14</v>
      </c>
      <c r="B16" t="s">
        <v>141</v>
      </c>
      <c r="C16" t="s">
        <v>209</v>
      </c>
      <c r="D16">
        <v>29171.867793913279</v>
      </c>
      <c r="E16" s="8">
        <f t="shared" si="0"/>
        <v>0.60877921801216539</v>
      </c>
      <c r="F16" s="7" t="s">
        <v>257</v>
      </c>
      <c r="G16" s="7"/>
      <c r="H16" s="7"/>
    </row>
    <row r="17" spans="1:8" x14ac:dyDescent="0.2">
      <c r="A17" s="5">
        <v>15</v>
      </c>
      <c r="B17" t="s">
        <v>142</v>
      </c>
      <c r="C17" t="s">
        <v>210</v>
      </c>
      <c r="D17">
        <v>21949.760616299271</v>
      </c>
      <c r="E17" s="8">
        <f t="shared" si="0"/>
        <v>0.40640887991386826</v>
      </c>
      <c r="F17" s="7" t="s">
        <v>257</v>
      </c>
      <c r="G17" s="7"/>
      <c r="H17" s="7"/>
    </row>
    <row r="18" spans="1:8" x14ac:dyDescent="0.2">
      <c r="A18" s="5">
        <v>16</v>
      </c>
      <c r="B18" t="s">
        <v>143</v>
      </c>
      <c r="C18" t="s">
        <v>211</v>
      </c>
      <c r="D18">
        <v>28895.693931501399</v>
      </c>
      <c r="E18" s="8">
        <f t="shared" si="0"/>
        <v>0.60104056272282791</v>
      </c>
      <c r="F18" s="7" t="s">
        <v>257</v>
      </c>
      <c r="G18" s="7"/>
      <c r="H18" s="7"/>
    </row>
    <row r="19" spans="1:8" x14ac:dyDescent="0.2">
      <c r="A19" s="5">
        <v>17</v>
      </c>
      <c r="B19" t="s">
        <v>144</v>
      </c>
      <c r="C19" t="s">
        <v>212</v>
      </c>
      <c r="D19">
        <v>40082.689549654649</v>
      </c>
      <c r="E19" s="8">
        <f t="shared" si="0"/>
        <v>0.91451086022369932</v>
      </c>
      <c r="F19" s="7" t="s">
        <v>257</v>
      </c>
      <c r="G19" s="7"/>
      <c r="H19" s="7"/>
    </row>
    <row r="20" spans="1:8" x14ac:dyDescent="0.2">
      <c r="A20" s="5">
        <v>18</v>
      </c>
      <c r="B20" t="s">
        <v>145</v>
      </c>
      <c r="C20" t="s">
        <v>213</v>
      </c>
      <c r="D20">
        <v>14205.4720030879</v>
      </c>
      <c r="E20" s="8">
        <f t="shared" si="0"/>
        <v>0.18940651946092582</v>
      </c>
      <c r="F20" s="7" t="s">
        <v>257</v>
      </c>
      <c r="G20" s="7"/>
      <c r="H20" s="7"/>
    </row>
    <row r="21" spans="1:8" x14ac:dyDescent="0.2">
      <c r="A21" s="5">
        <v>19</v>
      </c>
      <c r="B21" t="s">
        <v>146</v>
      </c>
      <c r="C21" t="s">
        <v>214</v>
      </c>
      <c r="D21">
        <v>7446.012111188109</v>
      </c>
      <c r="E21" s="8">
        <f t="shared" si="0"/>
        <v>0</v>
      </c>
      <c r="F21" s="7" t="s">
        <v>257</v>
      </c>
      <c r="G21" s="7"/>
      <c r="H21" s="7"/>
    </row>
    <row r="22" spans="1:8" x14ac:dyDescent="0.2">
      <c r="A22" s="5">
        <v>20</v>
      </c>
      <c r="B22" t="s">
        <v>147</v>
      </c>
      <c r="C22" t="s">
        <v>215</v>
      </c>
      <c r="D22">
        <v>16320.63767002528</v>
      </c>
      <c r="E22" s="8">
        <f t="shared" si="0"/>
        <v>0.24867548080766716</v>
      </c>
      <c r="F22" s="7" t="s">
        <v>257</v>
      </c>
      <c r="G22" s="7"/>
      <c r="H22" s="7"/>
    </row>
    <row r="23" spans="1:8" x14ac:dyDescent="0.2">
      <c r="A23" s="5">
        <v>21</v>
      </c>
      <c r="B23" t="s">
        <v>148</v>
      </c>
      <c r="C23" t="s">
        <v>216</v>
      </c>
      <c r="D23">
        <v>17933.751206779019</v>
      </c>
      <c r="E23" s="8">
        <f t="shared" si="0"/>
        <v>0.2938764621550034</v>
      </c>
      <c r="F23" s="7" t="s">
        <v>257</v>
      </c>
      <c r="G23" s="7"/>
      <c r="H23" s="7"/>
    </row>
    <row r="24" spans="1:8" x14ac:dyDescent="0.2">
      <c r="A24" s="5">
        <v>22</v>
      </c>
      <c r="B24" t="s">
        <v>149</v>
      </c>
      <c r="C24" t="s">
        <v>217</v>
      </c>
      <c r="D24">
        <v>39654.462715239773</v>
      </c>
      <c r="E24" s="8">
        <f t="shared" si="0"/>
        <v>0.90251153549311114</v>
      </c>
      <c r="F24" s="7" t="s">
        <v>257</v>
      </c>
      <c r="G24" s="7"/>
      <c r="H24" s="7"/>
    </row>
    <row r="25" spans="1:8" x14ac:dyDescent="0.2">
      <c r="A25" s="5">
        <v>23</v>
      </c>
      <c r="B25" t="s">
        <v>150</v>
      </c>
      <c r="C25" t="s">
        <v>218</v>
      </c>
      <c r="D25">
        <v>17049.890393934369</v>
      </c>
      <c r="E25" s="8">
        <f t="shared" si="0"/>
        <v>0.26910983835279328</v>
      </c>
      <c r="F25" s="7" t="s">
        <v>257</v>
      </c>
      <c r="G25" s="7"/>
      <c r="H25" s="7"/>
    </row>
    <row r="26" spans="1:8" x14ac:dyDescent="0.2">
      <c r="A26" s="5">
        <v>24</v>
      </c>
      <c r="B26" t="s">
        <v>151</v>
      </c>
      <c r="C26" t="s">
        <v>219</v>
      </c>
      <c r="D26">
        <v>14084.211640509229</v>
      </c>
      <c r="E26" s="8">
        <f t="shared" si="0"/>
        <v>0.18600868833360173</v>
      </c>
      <c r="F26" s="7" t="s">
        <v>257</v>
      </c>
      <c r="G26" s="7"/>
      <c r="H26" s="7"/>
    </row>
    <row r="27" spans="1:8" x14ac:dyDescent="0.2">
      <c r="A27" s="5">
        <v>25</v>
      </c>
      <c r="B27" t="s">
        <v>152</v>
      </c>
      <c r="C27" t="s">
        <v>220</v>
      </c>
      <c r="D27">
        <v>11603.011825783349</v>
      </c>
      <c r="E27" s="8">
        <f t="shared" si="0"/>
        <v>0.11648310071120976</v>
      </c>
      <c r="F27" s="7" t="s">
        <v>257</v>
      </c>
      <c r="G27" s="7"/>
      <c r="H27" s="7"/>
    </row>
    <row r="28" spans="1:8" x14ac:dyDescent="0.2">
      <c r="A28" s="5">
        <v>26</v>
      </c>
      <c r="B28" t="s">
        <v>153</v>
      </c>
      <c r="C28" t="s">
        <v>221</v>
      </c>
      <c r="D28">
        <v>33673.611310516069</v>
      </c>
      <c r="E28" s="8">
        <f t="shared" si="0"/>
        <v>0.73492236918424481</v>
      </c>
      <c r="F28" s="7" t="s">
        <v>257</v>
      </c>
      <c r="G28" s="7"/>
      <c r="H28" s="7"/>
    </row>
    <row r="29" spans="1:8" x14ac:dyDescent="0.2">
      <c r="A29" s="5">
        <v>27</v>
      </c>
      <c r="B29" t="s">
        <v>154</v>
      </c>
      <c r="C29" t="s">
        <v>222</v>
      </c>
      <c r="D29">
        <v>14866.65435507421</v>
      </c>
      <c r="E29" s="8">
        <f t="shared" si="0"/>
        <v>0.20793348019765392</v>
      </c>
      <c r="F29" s="7" t="s">
        <v>257</v>
      </c>
      <c r="G29" s="7"/>
      <c r="H29" s="7"/>
    </row>
    <row r="30" spans="1:8" x14ac:dyDescent="0.2">
      <c r="A30" s="5">
        <v>28</v>
      </c>
      <c r="B30" t="s">
        <v>155</v>
      </c>
      <c r="C30" t="s">
        <v>223</v>
      </c>
      <c r="D30">
        <v>25357.172973083889</v>
      </c>
      <c r="E30" s="8">
        <f t="shared" si="0"/>
        <v>0.50188782722445502</v>
      </c>
      <c r="F30" s="7" t="s">
        <v>257</v>
      </c>
      <c r="G30" s="7"/>
      <c r="H30" s="7"/>
    </row>
    <row r="31" spans="1:8" x14ac:dyDescent="0.2">
      <c r="A31" s="5">
        <v>29</v>
      </c>
      <c r="B31" t="s">
        <v>156</v>
      </c>
      <c r="C31" t="s">
        <v>224</v>
      </c>
      <c r="D31">
        <v>13644.837182420521</v>
      </c>
      <c r="E31" s="8">
        <f t="shared" si="0"/>
        <v>0.17369699654498116</v>
      </c>
      <c r="F31" s="7" t="s">
        <v>257</v>
      </c>
      <c r="G31" s="7"/>
      <c r="H31" s="7"/>
    </row>
    <row r="32" spans="1:8" x14ac:dyDescent="0.2">
      <c r="A32" s="5">
        <v>30</v>
      </c>
      <c r="B32" t="s">
        <v>157</v>
      </c>
      <c r="C32" t="s">
        <v>225</v>
      </c>
      <c r="D32">
        <v>21573.956565139011</v>
      </c>
      <c r="E32" s="8">
        <f t="shared" si="0"/>
        <v>0.39587849161836569</v>
      </c>
      <c r="F32" s="7" t="s">
        <v>257</v>
      </c>
      <c r="G32" s="7"/>
      <c r="H32" s="7"/>
    </row>
    <row r="33" spans="1:8" x14ac:dyDescent="0.2">
      <c r="A33" s="5">
        <v>31</v>
      </c>
      <c r="B33" t="s">
        <v>158</v>
      </c>
      <c r="C33" t="s">
        <v>226</v>
      </c>
      <c r="D33">
        <v>31250.081496524999</v>
      </c>
      <c r="E33" s="8">
        <f t="shared" si="0"/>
        <v>0.66701275004027805</v>
      </c>
      <c r="F33" s="7" t="s">
        <v>257</v>
      </c>
      <c r="G33" s="7"/>
      <c r="H33" s="7"/>
    </row>
    <row r="34" spans="1:8" x14ac:dyDescent="0.2">
      <c r="A34" s="5">
        <v>32</v>
      </c>
      <c r="B34" t="s">
        <v>159</v>
      </c>
      <c r="C34" t="s">
        <v>227</v>
      </c>
      <c r="D34">
        <v>23866.544010550151</v>
      </c>
      <c r="E34" s="8">
        <f t="shared" si="0"/>
        <v>0.4601189805833939</v>
      </c>
      <c r="F34" s="7" t="s">
        <v>257</v>
      </c>
      <c r="G34" s="7"/>
      <c r="H34" s="7"/>
    </row>
    <row r="35" spans="1:8" x14ac:dyDescent="0.2">
      <c r="A35" s="5">
        <v>33</v>
      </c>
      <c r="B35" t="s">
        <v>160</v>
      </c>
      <c r="C35" t="s">
        <v>228</v>
      </c>
      <c r="D35">
        <v>22596.285909463801</v>
      </c>
      <c r="E35" s="8">
        <f t="shared" si="0"/>
        <v>0.42452513586924329</v>
      </c>
      <c r="F35" s="7" t="s">
        <v>257</v>
      </c>
      <c r="G35" s="7"/>
      <c r="H35" s="7"/>
    </row>
    <row r="36" spans="1:8" x14ac:dyDescent="0.2">
      <c r="A36" s="5">
        <v>34</v>
      </c>
      <c r="B36" t="s">
        <v>161</v>
      </c>
      <c r="C36" t="s">
        <v>229</v>
      </c>
      <c r="D36">
        <v>40812.69895177726</v>
      </c>
      <c r="E36" s="8">
        <f t="shared" si="0"/>
        <v>0.93496642061477275</v>
      </c>
      <c r="F36" s="7" t="s">
        <v>257</v>
      </c>
      <c r="G36" s="7"/>
      <c r="H36" s="7"/>
    </row>
    <row r="37" spans="1:8" x14ac:dyDescent="0.2">
      <c r="A37" s="5">
        <v>35</v>
      </c>
      <c r="B37" t="s">
        <v>162</v>
      </c>
      <c r="C37" t="s">
        <v>230</v>
      </c>
      <c r="D37">
        <v>25007.927332423449</v>
      </c>
      <c r="E37" s="8">
        <f t="shared" si="0"/>
        <v>0.49210163094660375</v>
      </c>
      <c r="F37" s="7" t="s">
        <v>257</v>
      </c>
      <c r="G37" s="7"/>
      <c r="H37" s="7"/>
    </row>
    <row r="38" spans="1:8" x14ac:dyDescent="0.2">
      <c r="A38" s="5">
        <v>36</v>
      </c>
      <c r="B38" t="s">
        <v>163</v>
      </c>
      <c r="C38" t="s">
        <v>231</v>
      </c>
      <c r="D38">
        <v>17024.666187376741</v>
      </c>
      <c r="E38" s="8">
        <f t="shared" si="0"/>
        <v>0.2684030320033734</v>
      </c>
      <c r="F38" s="7" t="s">
        <v>257</v>
      </c>
      <c r="G38" s="7"/>
      <c r="H38" s="7"/>
    </row>
    <row r="39" spans="1:8" x14ac:dyDescent="0.2">
      <c r="A39" s="5">
        <v>37</v>
      </c>
      <c r="B39" t="s">
        <v>164</v>
      </c>
      <c r="C39" t="s">
        <v>232</v>
      </c>
      <c r="D39">
        <v>32785.387155831297</v>
      </c>
      <c r="E39" s="8">
        <f t="shared" si="0"/>
        <v>0.71003348037797043</v>
      </c>
      <c r="F39" s="7" t="s">
        <v>257</v>
      </c>
      <c r="G39" s="7"/>
      <c r="H39" s="7"/>
    </row>
    <row r="40" spans="1:8" x14ac:dyDescent="0.2">
      <c r="A40" s="5">
        <v>38</v>
      </c>
      <c r="B40" t="s">
        <v>165</v>
      </c>
      <c r="C40" t="s">
        <v>233</v>
      </c>
      <c r="D40">
        <v>20925.5037651762</v>
      </c>
      <c r="E40" s="8">
        <f t="shared" si="0"/>
        <v>0.37770822508230251</v>
      </c>
      <c r="F40" s="7" t="s">
        <v>257</v>
      </c>
      <c r="G40" s="7"/>
      <c r="H40" s="7"/>
    </row>
    <row r="41" spans="1:8" x14ac:dyDescent="0.2">
      <c r="A41" s="5">
        <v>39</v>
      </c>
      <c r="B41" t="s">
        <v>166</v>
      </c>
      <c r="C41" t="s">
        <v>234</v>
      </c>
      <c r="D41">
        <v>20822.04796419511</v>
      </c>
      <c r="E41" s="8">
        <f t="shared" si="0"/>
        <v>0.3748092947690459</v>
      </c>
      <c r="F41" s="7" t="s">
        <v>257</v>
      </c>
      <c r="G41" s="7"/>
      <c r="H41" s="7"/>
    </row>
    <row r="42" spans="1:8" x14ac:dyDescent="0.2">
      <c r="A42" s="5">
        <v>40</v>
      </c>
      <c r="B42" t="s">
        <v>167</v>
      </c>
      <c r="C42" t="s">
        <v>235</v>
      </c>
      <c r="D42">
        <v>29500.230528676981</v>
      </c>
      <c r="E42" s="8">
        <f t="shared" si="0"/>
        <v>0.6179802553297763</v>
      </c>
      <c r="F42" s="7" t="s">
        <v>257</v>
      </c>
      <c r="G42" s="7"/>
      <c r="H42" s="7"/>
    </row>
    <row r="43" spans="1:8" x14ac:dyDescent="0.2">
      <c r="A43" s="5">
        <v>41</v>
      </c>
      <c r="B43" t="s">
        <v>168</v>
      </c>
      <c r="C43" t="s">
        <v>236</v>
      </c>
      <c r="D43">
        <v>26941.225034495161</v>
      </c>
      <c r="E43" s="8">
        <f t="shared" si="0"/>
        <v>0.54627447828756071</v>
      </c>
      <c r="F43" s="7" t="s">
        <v>257</v>
      </c>
      <c r="G43" s="7"/>
      <c r="H43" s="7"/>
    </row>
    <row r="44" spans="1:8" x14ac:dyDescent="0.2">
      <c r="A44" s="5">
        <v>42</v>
      </c>
      <c r="B44" t="s">
        <v>169</v>
      </c>
      <c r="C44" t="s">
        <v>237</v>
      </c>
      <c r="D44">
        <v>14734.066011467159</v>
      </c>
      <c r="E44" s="8">
        <f t="shared" si="0"/>
        <v>0.20421822822703492</v>
      </c>
      <c r="F44" s="7" t="s">
        <v>257</v>
      </c>
      <c r="G44" s="7"/>
      <c r="H44" s="7"/>
    </row>
    <row r="45" spans="1:8" x14ac:dyDescent="0.2">
      <c r="A45" s="5">
        <v>43</v>
      </c>
      <c r="B45" t="s">
        <v>170</v>
      </c>
      <c r="C45" t="s">
        <v>238</v>
      </c>
      <c r="D45">
        <v>21736.870463176601</v>
      </c>
      <c r="E45" s="8">
        <f t="shared" si="0"/>
        <v>0.40044349457608569</v>
      </c>
      <c r="F45" s="7" t="s">
        <v>257</v>
      </c>
      <c r="G45" s="7"/>
      <c r="H45" s="7"/>
    </row>
    <row r="46" spans="1:8" x14ac:dyDescent="0.2">
      <c r="A46" s="5">
        <v>44</v>
      </c>
      <c r="B46" t="s">
        <v>171</v>
      </c>
      <c r="C46" t="s">
        <v>239</v>
      </c>
      <c r="D46">
        <v>19289.731290688451</v>
      </c>
      <c r="E46" s="8">
        <f t="shared" si="0"/>
        <v>0.33187231866705902</v>
      </c>
      <c r="F46" s="7" t="s">
        <v>257</v>
      </c>
      <c r="G46" s="7"/>
      <c r="H46" s="7"/>
    </row>
    <row r="47" spans="1:8" x14ac:dyDescent="0.2">
      <c r="A47" s="5">
        <v>45</v>
      </c>
      <c r="B47" t="s">
        <v>172</v>
      </c>
      <c r="C47" t="s">
        <v>240</v>
      </c>
      <c r="D47">
        <v>23471.111730863649</v>
      </c>
      <c r="E47" s="8">
        <f t="shared" si="0"/>
        <v>0.4490385905854189</v>
      </c>
      <c r="F47" s="7" t="s">
        <v>257</v>
      </c>
      <c r="G47" s="7"/>
      <c r="H47" s="7"/>
    </row>
    <row r="48" spans="1:8" x14ac:dyDescent="0.2">
      <c r="A48" s="5">
        <v>46</v>
      </c>
      <c r="B48" t="s">
        <v>173</v>
      </c>
      <c r="C48" t="s">
        <v>241</v>
      </c>
      <c r="D48">
        <v>18593.130789819141</v>
      </c>
      <c r="E48" s="8">
        <f t="shared" si="0"/>
        <v>0.31235290758474682</v>
      </c>
      <c r="F48" s="7" t="s">
        <v>257</v>
      </c>
      <c r="G48" s="7"/>
      <c r="H48" s="7"/>
    </row>
    <row r="49" spans="1:8" x14ac:dyDescent="0.2">
      <c r="A49" s="5">
        <v>47</v>
      </c>
      <c r="B49" t="s">
        <v>174</v>
      </c>
      <c r="C49" t="s">
        <v>242</v>
      </c>
      <c r="D49">
        <v>20230.435923807829</v>
      </c>
      <c r="E49" s="8">
        <f t="shared" si="0"/>
        <v>0.35823176058244427</v>
      </c>
      <c r="F49" s="7" t="s">
        <v>257</v>
      </c>
      <c r="G49" s="7"/>
      <c r="H49" s="7"/>
    </row>
    <row r="50" spans="1:8" x14ac:dyDescent="0.2">
      <c r="A50" s="5">
        <v>48</v>
      </c>
      <c r="B50" t="s">
        <v>175</v>
      </c>
      <c r="C50" t="s">
        <v>243</v>
      </c>
      <c r="D50">
        <v>10970.521924956989</v>
      </c>
      <c r="E50" s="8">
        <f t="shared" si="0"/>
        <v>9.8760129848808942E-2</v>
      </c>
      <c r="F50" s="7" t="s">
        <v>257</v>
      </c>
      <c r="G50" s="7"/>
      <c r="H50" s="7"/>
    </row>
    <row r="51" spans="1:8" x14ac:dyDescent="0.2">
      <c r="A51" s="5">
        <v>49</v>
      </c>
      <c r="B51" t="s">
        <v>176</v>
      </c>
      <c r="C51" t="s">
        <v>244</v>
      </c>
      <c r="D51">
        <v>37204.725507014118</v>
      </c>
      <c r="E51" s="8">
        <f t="shared" si="0"/>
        <v>0.83386756014236207</v>
      </c>
      <c r="F51" s="7" t="s">
        <v>257</v>
      </c>
      <c r="G51" s="7"/>
      <c r="H51" s="7"/>
    </row>
    <row r="52" spans="1:8" x14ac:dyDescent="0.2">
      <c r="A52" s="5">
        <v>50</v>
      </c>
      <c r="B52" t="s">
        <v>177</v>
      </c>
      <c r="C52" t="s">
        <v>245</v>
      </c>
      <c r="D52">
        <v>13796.055515189581</v>
      </c>
      <c r="E52" s="8">
        <f t="shared" si="0"/>
        <v>0.17793427859806274</v>
      </c>
      <c r="F52" s="7" t="s">
        <v>257</v>
      </c>
      <c r="G52" s="7"/>
      <c r="H52" s="7"/>
    </row>
    <row r="53" spans="1:8" x14ac:dyDescent="0.2">
      <c r="A53" s="5">
        <v>51</v>
      </c>
      <c r="B53" t="s">
        <v>178</v>
      </c>
      <c r="C53" t="s">
        <v>246</v>
      </c>
      <c r="D53">
        <v>13337.663764460651</v>
      </c>
      <c r="E53" s="8">
        <f t="shared" si="0"/>
        <v>0.16508970411375953</v>
      </c>
      <c r="F53" s="7" t="s">
        <v>257</v>
      </c>
      <c r="G53" s="7"/>
      <c r="H53" s="7"/>
    </row>
    <row r="54" spans="1:8" x14ac:dyDescent="0.2">
      <c r="A54" s="5">
        <v>52</v>
      </c>
      <c r="B54" t="s">
        <v>179</v>
      </c>
      <c r="C54" t="s">
        <v>247</v>
      </c>
      <c r="D54">
        <v>15930.55520658605</v>
      </c>
      <c r="E54" s="8">
        <f t="shared" si="0"/>
        <v>0.23774499776843683</v>
      </c>
      <c r="F54" s="7" t="s">
        <v>257</v>
      </c>
      <c r="G54" s="7"/>
      <c r="H54" s="7"/>
    </row>
    <row r="55" spans="1:8" x14ac:dyDescent="0.2">
      <c r="A55" s="5">
        <v>53</v>
      </c>
      <c r="B55" t="s">
        <v>180</v>
      </c>
      <c r="C55" t="s">
        <v>248</v>
      </c>
      <c r="D55">
        <v>8815.9959564681049</v>
      </c>
      <c r="E55" s="8">
        <f t="shared" si="0"/>
        <v>3.8388255275119305E-2</v>
      </c>
      <c r="F55" s="7" t="s">
        <v>257</v>
      </c>
      <c r="G55" s="7"/>
      <c r="H55" s="7"/>
    </row>
    <row r="56" spans="1:8" x14ac:dyDescent="0.2">
      <c r="A56" s="5">
        <v>54</v>
      </c>
      <c r="B56" t="s">
        <v>181</v>
      </c>
      <c r="C56" t="s">
        <v>249</v>
      </c>
      <c r="D56">
        <v>10462.780323857711</v>
      </c>
      <c r="E56" s="8">
        <f t="shared" si="0"/>
        <v>8.4532725442581599E-2</v>
      </c>
      <c r="F56" s="7" t="s">
        <v>257</v>
      </c>
      <c r="G56" s="7"/>
      <c r="H56" s="7"/>
    </row>
    <row r="57" spans="1:8" x14ac:dyDescent="0.2">
      <c r="A57" s="5">
        <v>55</v>
      </c>
      <c r="B57" t="s">
        <v>182</v>
      </c>
      <c r="C57" t="s">
        <v>250</v>
      </c>
      <c r="D57">
        <v>10626.319877799689</v>
      </c>
      <c r="E57" s="8">
        <f t="shared" si="0"/>
        <v>8.9115259876059338E-2</v>
      </c>
      <c r="F57" s="7" t="s">
        <v>257</v>
      </c>
      <c r="G57" s="7"/>
      <c r="H57" s="7"/>
    </row>
    <row r="58" spans="1:8" x14ac:dyDescent="0.2">
      <c r="A58" s="5">
        <v>56</v>
      </c>
      <c r="B58" t="s">
        <v>183</v>
      </c>
      <c r="C58" t="s">
        <v>251</v>
      </c>
      <c r="D58">
        <v>13122.46538412172</v>
      </c>
      <c r="E58" s="8">
        <f t="shared" si="0"/>
        <v>0.15905964004570136</v>
      </c>
      <c r="F58" s="7" t="s">
        <v>257</v>
      </c>
      <c r="G58" s="7"/>
      <c r="H58" s="7"/>
    </row>
    <row r="59" spans="1:8" x14ac:dyDescent="0.2">
      <c r="A59" s="5">
        <v>57</v>
      </c>
      <c r="B59" t="s">
        <v>184</v>
      </c>
      <c r="C59" t="s">
        <v>252</v>
      </c>
      <c r="D59">
        <v>34748.628022684898</v>
      </c>
      <c r="E59" s="8">
        <f t="shared" si="0"/>
        <v>0.76504536378300381</v>
      </c>
      <c r="F59" s="7" t="s">
        <v>257</v>
      </c>
      <c r="G59" s="7"/>
      <c r="H59" s="7"/>
    </row>
    <row r="60" spans="1:8" x14ac:dyDescent="0.2">
      <c r="A60" s="5">
        <v>58</v>
      </c>
      <c r="B60" t="s">
        <v>185</v>
      </c>
      <c r="C60" t="s">
        <v>253</v>
      </c>
      <c r="D60">
        <v>13857.69873041961</v>
      </c>
      <c r="E60" s="8">
        <f t="shared" si="0"/>
        <v>0.17966158033989155</v>
      </c>
      <c r="F60" s="7" t="s">
        <v>257</v>
      </c>
      <c r="G60" s="7"/>
      <c r="H60" s="7"/>
    </row>
    <row r="61" spans="1:8" x14ac:dyDescent="0.2">
      <c r="A61" s="5">
        <v>59</v>
      </c>
      <c r="B61" t="s">
        <v>186</v>
      </c>
      <c r="C61" t="s">
        <v>254</v>
      </c>
      <c r="D61">
        <v>15065.684954017621</v>
      </c>
      <c r="E61" s="8">
        <f t="shared" si="0"/>
        <v>0.21351050759554852</v>
      </c>
      <c r="F61" s="7" t="s">
        <v>257</v>
      </c>
      <c r="G61" s="7"/>
      <c r="H61" s="7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G1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14" customWidth="1"/>
    <col min="4" max="4" width="16" customWidth="1"/>
    <col min="5" max="5" width="22" customWidth="1"/>
    <col min="6" max="6" width="14" customWidth="1"/>
    <col min="7" max="7" width="28" customWidth="1"/>
  </cols>
  <sheetData>
    <row r="1" spans="1:7" ht="31.5" customHeight="1" x14ac:dyDescent="0.2">
      <c r="A1" s="18" t="s">
        <v>107</v>
      </c>
      <c r="B1" s="18"/>
      <c r="C1" s="18"/>
      <c r="D1" s="18"/>
      <c r="E1" s="18"/>
      <c r="F1" s="18"/>
      <c r="G1" s="18"/>
    </row>
    <row r="2" spans="1:7" ht="27.75" customHeight="1" x14ac:dyDescent="0.2">
      <c r="A2" s="4" t="s">
        <v>92</v>
      </c>
      <c r="B2" s="4" t="s">
        <v>93</v>
      </c>
      <c r="C2" s="4" t="s">
        <v>74</v>
      </c>
      <c r="D2" s="4" t="s">
        <v>101</v>
      </c>
      <c r="E2" s="4" t="s">
        <v>102</v>
      </c>
      <c r="F2" s="4" t="s">
        <v>106</v>
      </c>
      <c r="G2" s="4" t="s">
        <v>98</v>
      </c>
    </row>
    <row r="3" spans="1:7" x14ac:dyDescent="0.2">
      <c r="A3" s="5">
        <v>1</v>
      </c>
      <c r="B3" s="7"/>
      <c r="C3" s="7"/>
      <c r="D3" s="8" t="str">
        <f t="shared" ref="D3:D34" si="0">IF(OR(C3="",COUNT($C$3:$C$61)&lt;2),"",(C3-MIN($C$3:$C$61))/(MAX($C$3:$C$61)-MIN($C$3:$C$61)))</f>
        <v/>
      </c>
      <c r="E3" s="7"/>
      <c r="F3" s="7"/>
      <c r="G3" s="7"/>
    </row>
    <row r="4" spans="1:7" x14ac:dyDescent="0.2">
      <c r="A4" s="5">
        <v>2</v>
      </c>
      <c r="B4" s="7"/>
      <c r="C4" s="7"/>
      <c r="D4" s="8" t="str">
        <f t="shared" si="0"/>
        <v/>
      </c>
      <c r="E4" s="7"/>
      <c r="F4" s="7"/>
      <c r="G4" s="7"/>
    </row>
    <row r="5" spans="1:7" x14ac:dyDescent="0.2">
      <c r="A5" s="5">
        <v>3</v>
      </c>
      <c r="B5" s="7"/>
      <c r="C5" s="7"/>
      <c r="D5" s="8" t="str">
        <f t="shared" si="0"/>
        <v/>
      </c>
      <c r="E5" s="7"/>
      <c r="F5" s="7"/>
      <c r="G5" s="7"/>
    </row>
    <row r="6" spans="1:7" x14ac:dyDescent="0.2">
      <c r="A6" s="5">
        <v>4</v>
      </c>
      <c r="B6" s="7"/>
      <c r="C6" s="7"/>
      <c r="D6" s="8" t="str">
        <f t="shared" si="0"/>
        <v/>
      </c>
      <c r="E6" s="7"/>
      <c r="F6" s="7"/>
      <c r="G6" s="7"/>
    </row>
    <row r="7" spans="1:7" x14ac:dyDescent="0.2">
      <c r="A7" s="5">
        <v>5</v>
      </c>
      <c r="B7" s="7"/>
      <c r="C7" s="7"/>
      <c r="D7" s="8" t="str">
        <f t="shared" si="0"/>
        <v/>
      </c>
      <c r="E7" s="7"/>
      <c r="F7" s="7"/>
      <c r="G7" s="7"/>
    </row>
    <row r="8" spans="1:7" x14ac:dyDescent="0.2">
      <c r="A8" s="5">
        <v>6</v>
      </c>
      <c r="B8" s="7"/>
      <c r="C8" s="7"/>
      <c r="D8" s="8" t="str">
        <f t="shared" si="0"/>
        <v/>
      </c>
      <c r="E8" s="7"/>
      <c r="F8" s="7"/>
      <c r="G8" s="7"/>
    </row>
    <row r="9" spans="1:7" x14ac:dyDescent="0.2">
      <c r="A9" s="5">
        <v>7</v>
      </c>
      <c r="B9" s="7"/>
      <c r="C9" s="7"/>
      <c r="D9" s="8" t="str">
        <f t="shared" si="0"/>
        <v/>
      </c>
      <c r="E9" s="7"/>
      <c r="F9" s="7"/>
      <c r="G9" s="7"/>
    </row>
    <row r="10" spans="1:7" x14ac:dyDescent="0.2">
      <c r="A10" s="5">
        <v>8</v>
      </c>
      <c r="B10" s="7"/>
      <c r="C10" s="7"/>
      <c r="D10" s="8" t="str">
        <f t="shared" si="0"/>
        <v/>
      </c>
      <c r="E10" s="7"/>
      <c r="F10" s="7"/>
      <c r="G10" s="7"/>
    </row>
    <row r="11" spans="1:7" x14ac:dyDescent="0.2">
      <c r="A11" s="5">
        <v>9</v>
      </c>
      <c r="B11" s="7"/>
      <c r="C11" s="7"/>
      <c r="D11" s="8" t="str">
        <f t="shared" si="0"/>
        <v/>
      </c>
      <c r="E11" s="7"/>
      <c r="F11" s="7"/>
      <c r="G11" s="7"/>
    </row>
    <row r="12" spans="1:7" x14ac:dyDescent="0.2">
      <c r="A12" s="5">
        <v>10</v>
      </c>
      <c r="B12" s="7"/>
      <c r="C12" s="7"/>
      <c r="D12" s="8" t="str">
        <f t="shared" si="0"/>
        <v/>
      </c>
      <c r="E12" s="7"/>
      <c r="F12" s="7"/>
      <c r="G12" s="7"/>
    </row>
    <row r="13" spans="1:7" x14ac:dyDescent="0.2">
      <c r="A13" s="5">
        <v>11</v>
      </c>
      <c r="B13" s="7"/>
      <c r="C13" s="7"/>
      <c r="D13" s="8" t="str">
        <f t="shared" si="0"/>
        <v/>
      </c>
      <c r="E13" s="7"/>
      <c r="F13" s="7"/>
      <c r="G13" s="7"/>
    </row>
    <row r="14" spans="1:7" x14ac:dyDescent="0.2">
      <c r="A14" s="5">
        <v>12</v>
      </c>
      <c r="B14" s="7"/>
      <c r="C14" s="7"/>
      <c r="D14" s="8" t="str">
        <f t="shared" si="0"/>
        <v/>
      </c>
      <c r="E14" s="7"/>
      <c r="F14" s="7"/>
      <c r="G14" s="7"/>
    </row>
    <row r="15" spans="1:7" x14ac:dyDescent="0.2">
      <c r="A15" s="5">
        <v>13</v>
      </c>
      <c r="B15" s="7"/>
      <c r="C15" s="7"/>
      <c r="D15" s="8" t="str">
        <f t="shared" si="0"/>
        <v/>
      </c>
      <c r="E15" s="7"/>
      <c r="F15" s="7"/>
      <c r="G15" s="7"/>
    </row>
    <row r="16" spans="1:7" x14ac:dyDescent="0.2">
      <c r="A16" s="5">
        <v>14</v>
      </c>
      <c r="B16" s="7"/>
      <c r="C16" s="7"/>
      <c r="D16" s="8" t="str">
        <f t="shared" si="0"/>
        <v/>
      </c>
      <c r="E16" s="7"/>
      <c r="F16" s="7"/>
      <c r="G16" s="7"/>
    </row>
    <row r="17" spans="1:7" x14ac:dyDescent="0.2">
      <c r="A17" s="5">
        <v>15</v>
      </c>
      <c r="B17" s="7"/>
      <c r="C17" s="7"/>
      <c r="D17" s="8" t="str">
        <f t="shared" si="0"/>
        <v/>
      </c>
      <c r="E17" s="7"/>
      <c r="F17" s="7"/>
      <c r="G17" s="7"/>
    </row>
    <row r="18" spans="1:7" x14ac:dyDescent="0.2">
      <c r="A18" s="5">
        <v>16</v>
      </c>
      <c r="B18" s="7"/>
      <c r="C18" s="7"/>
      <c r="D18" s="8" t="str">
        <f t="shared" si="0"/>
        <v/>
      </c>
      <c r="E18" s="7"/>
      <c r="F18" s="7"/>
      <c r="G18" s="7"/>
    </row>
    <row r="19" spans="1:7" x14ac:dyDescent="0.2">
      <c r="A19" s="5">
        <v>17</v>
      </c>
      <c r="B19" s="7"/>
      <c r="C19" s="7"/>
      <c r="D19" s="8" t="str">
        <f t="shared" si="0"/>
        <v/>
      </c>
      <c r="E19" s="7"/>
      <c r="F19" s="7"/>
      <c r="G19" s="7"/>
    </row>
    <row r="20" spans="1:7" x14ac:dyDescent="0.2">
      <c r="A20" s="5">
        <v>18</v>
      </c>
      <c r="B20" s="7"/>
      <c r="C20" s="7"/>
      <c r="D20" s="8" t="str">
        <f t="shared" si="0"/>
        <v/>
      </c>
      <c r="E20" s="7"/>
      <c r="F20" s="7"/>
      <c r="G20" s="7"/>
    </row>
    <row r="21" spans="1:7" x14ac:dyDescent="0.2">
      <c r="A21" s="5">
        <v>19</v>
      </c>
      <c r="B21" s="7"/>
      <c r="C21" s="7"/>
      <c r="D21" s="8" t="str">
        <f t="shared" si="0"/>
        <v/>
      </c>
      <c r="E21" s="7"/>
      <c r="F21" s="7"/>
      <c r="G21" s="7"/>
    </row>
    <row r="22" spans="1:7" x14ac:dyDescent="0.2">
      <c r="A22" s="5">
        <v>20</v>
      </c>
      <c r="B22" s="7"/>
      <c r="C22" s="7"/>
      <c r="D22" s="8" t="str">
        <f t="shared" si="0"/>
        <v/>
      </c>
      <c r="E22" s="7"/>
      <c r="F22" s="7"/>
      <c r="G22" s="7"/>
    </row>
    <row r="23" spans="1:7" x14ac:dyDescent="0.2">
      <c r="A23" s="5">
        <v>21</v>
      </c>
      <c r="B23" s="7"/>
      <c r="C23" s="7"/>
      <c r="D23" s="8" t="str">
        <f t="shared" si="0"/>
        <v/>
      </c>
      <c r="E23" s="7"/>
      <c r="F23" s="7"/>
      <c r="G23" s="7"/>
    </row>
    <row r="24" spans="1:7" x14ac:dyDescent="0.2">
      <c r="A24" s="5">
        <v>22</v>
      </c>
      <c r="B24" s="7"/>
      <c r="C24" s="7"/>
      <c r="D24" s="8" t="str">
        <f t="shared" si="0"/>
        <v/>
      </c>
      <c r="E24" s="7"/>
      <c r="F24" s="7"/>
      <c r="G24" s="7"/>
    </row>
    <row r="25" spans="1:7" x14ac:dyDescent="0.2">
      <c r="A25" s="5">
        <v>23</v>
      </c>
      <c r="B25" s="7"/>
      <c r="C25" s="7"/>
      <c r="D25" s="8" t="str">
        <f t="shared" si="0"/>
        <v/>
      </c>
      <c r="E25" s="7"/>
      <c r="F25" s="7"/>
      <c r="G25" s="7"/>
    </row>
    <row r="26" spans="1:7" x14ac:dyDescent="0.2">
      <c r="A26" s="5">
        <v>24</v>
      </c>
      <c r="B26" s="7"/>
      <c r="C26" s="7"/>
      <c r="D26" s="8" t="str">
        <f t="shared" si="0"/>
        <v/>
      </c>
      <c r="E26" s="7"/>
      <c r="F26" s="7"/>
      <c r="G26" s="7"/>
    </row>
    <row r="27" spans="1:7" x14ac:dyDescent="0.2">
      <c r="A27" s="5">
        <v>25</v>
      </c>
      <c r="B27" s="7"/>
      <c r="C27" s="7"/>
      <c r="D27" s="8" t="str">
        <f t="shared" si="0"/>
        <v/>
      </c>
      <c r="E27" s="7"/>
      <c r="F27" s="7"/>
      <c r="G27" s="7"/>
    </row>
    <row r="28" spans="1:7" x14ac:dyDescent="0.2">
      <c r="A28" s="5">
        <v>26</v>
      </c>
      <c r="B28" s="7"/>
      <c r="C28" s="7"/>
      <c r="D28" s="8" t="str">
        <f t="shared" si="0"/>
        <v/>
      </c>
      <c r="E28" s="7"/>
      <c r="F28" s="7"/>
      <c r="G28" s="7"/>
    </row>
    <row r="29" spans="1:7" x14ac:dyDescent="0.2">
      <c r="A29" s="5">
        <v>27</v>
      </c>
      <c r="B29" s="7"/>
      <c r="C29" s="7"/>
      <c r="D29" s="8" t="str">
        <f t="shared" si="0"/>
        <v/>
      </c>
      <c r="E29" s="7"/>
      <c r="F29" s="7"/>
      <c r="G29" s="7"/>
    </row>
    <row r="30" spans="1:7" x14ac:dyDescent="0.2">
      <c r="A30" s="5">
        <v>28</v>
      </c>
      <c r="B30" s="7"/>
      <c r="C30" s="7"/>
      <c r="D30" s="8" t="str">
        <f t="shared" si="0"/>
        <v/>
      </c>
      <c r="E30" s="7"/>
      <c r="F30" s="7"/>
      <c r="G30" s="7"/>
    </row>
    <row r="31" spans="1:7" x14ac:dyDescent="0.2">
      <c r="A31" s="5">
        <v>29</v>
      </c>
      <c r="B31" s="7"/>
      <c r="C31" s="7"/>
      <c r="D31" s="8" t="str">
        <f t="shared" si="0"/>
        <v/>
      </c>
      <c r="E31" s="7"/>
      <c r="F31" s="7"/>
      <c r="G31" s="7"/>
    </row>
    <row r="32" spans="1:7" x14ac:dyDescent="0.2">
      <c r="A32" s="5">
        <v>30</v>
      </c>
      <c r="B32" s="7"/>
      <c r="C32" s="7"/>
      <c r="D32" s="8" t="str">
        <f t="shared" si="0"/>
        <v/>
      </c>
      <c r="E32" s="7"/>
      <c r="F32" s="7"/>
      <c r="G32" s="7"/>
    </row>
    <row r="33" spans="1:7" x14ac:dyDescent="0.2">
      <c r="A33" s="5">
        <v>31</v>
      </c>
      <c r="B33" s="7"/>
      <c r="C33" s="7"/>
      <c r="D33" s="8" t="str">
        <f t="shared" si="0"/>
        <v/>
      </c>
      <c r="E33" s="7"/>
      <c r="F33" s="7"/>
      <c r="G33" s="7"/>
    </row>
    <row r="34" spans="1:7" x14ac:dyDescent="0.2">
      <c r="A34" s="5">
        <v>32</v>
      </c>
      <c r="B34" s="7"/>
      <c r="C34" s="7"/>
      <c r="D34" s="8" t="str">
        <f t="shared" si="0"/>
        <v/>
      </c>
      <c r="E34" s="7"/>
      <c r="F34" s="7"/>
      <c r="G34" s="7"/>
    </row>
    <row r="35" spans="1:7" x14ac:dyDescent="0.2">
      <c r="A35" s="5">
        <v>33</v>
      </c>
      <c r="B35" s="7"/>
      <c r="C35" s="7"/>
      <c r="D35" s="8" t="str">
        <f t="shared" ref="D35:D61" si="1">IF(OR(C35="",COUNT($C$3:$C$61)&lt;2),"",(C35-MIN($C$3:$C$61))/(MAX($C$3:$C$61)-MIN($C$3:$C$61)))</f>
        <v/>
      </c>
      <c r="E35" s="7"/>
      <c r="F35" s="7"/>
      <c r="G35" s="7"/>
    </row>
    <row r="36" spans="1:7" x14ac:dyDescent="0.2">
      <c r="A36" s="5">
        <v>34</v>
      </c>
      <c r="B36" s="7"/>
      <c r="C36" s="7"/>
      <c r="D36" s="8" t="str">
        <f t="shared" si="1"/>
        <v/>
      </c>
      <c r="E36" s="7"/>
      <c r="F36" s="7"/>
      <c r="G36" s="7"/>
    </row>
    <row r="37" spans="1:7" x14ac:dyDescent="0.2">
      <c r="A37" s="5">
        <v>35</v>
      </c>
      <c r="B37" s="7"/>
      <c r="C37" s="7"/>
      <c r="D37" s="8" t="str">
        <f t="shared" si="1"/>
        <v/>
      </c>
      <c r="E37" s="7"/>
      <c r="F37" s="7"/>
      <c r="G37" s="7"/>
    </row>
    <row r="38" spans="1:7" x14ac:dyDescent="0.2">
      <c r="A38" s="5">
        <v>36</v>
      </c>
      <c r="B38" s="7"/>
      <c r="C38" s="7"/>
      <c r="D38" s="8" t="str">
        <f t="shared" si="1"/>
        <v/>
      </c>
      <c r="E38" s="7"/>
      <c r="F38" s="7"/>
      <c r="G38" s="7"/>
    </row>
    <row r="39" spans="1:7" x14ac:dyDescent="0.2">
      <c r="A39" s="5">
        <v>37</v>
      </c>
      <c r="B39" s="7"/>
      <c r="C39" s="7"/>
      <c r="D39" s="8" t="str">
        <f t="shared" si="1"/>
        <v/>
      </c>
      <c r="E39" s="7"/>
      <c r="F39" s="7"/>
      <c r="G39" s="7"/>
    </row>
    <row r="40" spans="1:7" x14ac:dyDescent="0.2">
      <c r="A40" s="5">
        <v>38</v>
      </c>
      <c r="B40" s="7"/>
      <c r="C40" s="7"/>
      <c r="D40" s="8" t="str">
        <f t="shared" si="1"/>
        <v/>
      </c>
      <c r="E40" s="7"/>
      <c r="F40" s="7"/>
      <c r="G40" s="7"/>
    </row>
    <row r="41" spans="1:7" x14ac:dyDescent="0.2">
      <c r="A41" s="5">
        <v>39</v>
      </c>
      <c r="B41" s="7"/>
      <c r="C41" s="7"/>
      <c r="D41" s="8" t="str">
        <f t="shared" si="1"/>
        <v/>
      </c>
      <c r="E41" s="7"/>
      <c r="F41" s="7"/>
      <c r="G41" s="7"/>
    </row>
    <row r="42" spans="1:7" x14ac:dyDescent="0.2">
      <c r="A42" s="5">
        <v>40</v>
      </c>
      <c r="B42" s="7"/>
      <c r="C42" s="7"/>
      <c r="D42" s="8" t="str">
        <f t="shared" si="1"/>
        <v/>
      </c>
      <c r="E42" s="7"/>
      <c r="F42" s="7"/>
      <c r="G42" s="7"/>
    </row>
    <row r="43" spans="1:7" x14ac:dyDescent="0.2">
      <c r="A43" s="5">
        <v>41</v>
      </c>
      <c r="B43" s="7"/>
      <c r="C43" s="7"/>
      <c r="D43" s="8" t="str">
        <f t="shared" si="1"/>
        <v/>
      </c>
      <c r="E43" s="7"/>
      <c r="F43" s="7"/>
      <c r="G43" s="7"/>
    </row>
    <row r="44" spans="1:7" x14ac:dyDescent="0.2">
      <c r="A44" s="5">
        <v>42</v>
      </c>
      <c r="B44" s="7"/>
      <c r="C44" s="7"/>
      <c r="D44" s="8" t="str">
        <f t="shared" si="1"/>
        <v/>
      </c>
      <c r="E44" s="7"/>
      <c r="F44" s="7"/>
      <c r="G44" s="7"/>
    </row>
    <row r="45" spans="1:7" x14ac:dyDescent="0.2">
      <c r="A45" s="5">
        <v>43</v>
      </c>
      <c r="B45" s="7"/>
      <c r="C45" s="7"/>
      <c r="D45" s="8" t="str">
        <f t="shared" si="1"/>
        <v/>
      </c>
      <c r="E45" s="7"/>
      <c r="F45" s="7"/>
      <c r="G45" s="7"/>
    </row>
    <row r="46" spans="1:7" x14ac:dyDescent="0.2">
      <c r="A46" s="5">
        <v>44</v>
      </c>
      <c r="B46" s="7"/>
      <c r="C46" s="7"/>
      <c r="D46" s="8" t="str">
        <f t="shared" si="1"/>
        <v/>
      </c>
      <c r="E46" s="7"/>
      <c r="F46" s="7"/>
      <c r="G46" s="7"/>
    </row>
    <row r="47" spans="1:7" x14ac:dyDescent="0.2">
      <c r="A47" s="5">
        <v>45</v>
      </c>
      <c r="B47" s="7"/>
      <c r="C47" s="7"/>
      <c r="D47" s="8" t="str">
        <f t="shared" si="1"/>
        <v/>
      </c>
      <c r="E47" s="7"/>
      <c r="F47" s="7"/>
      <c r="G47" s="7"/>
    </row>
    <row r="48" spans="1:7" x14ac:dyDescent="0.2">
      <c r="A48" s="5">
        <v>46</v>
      </c>
      <c r="B48" s="7"/>
      <c r="C48" s="7"/>
      <c r="D48" s="8" t="str">
        <f t="shared" si="1"/>
        <v/>
      </c>
      <c r="E48" s="7"/>
      <c r="F48" s="7"/>
      <c r="G48" s="7"/>
    </row>
    <row r="49" spans="1:7" x14ac:dyDescent="0.2">
      <c r="A49" s="5">
        <v>47</v>
      </c>
      <c r="B49" s="7"/>
      <c r="C49" s="7"/>
      <c r="D49" s="8" t="str">
        <f t="shared" si="1"/>
        <v/>
      </c>
      <c r="E49" s="7"/>
      <c r="F49" s="7"/>
      <c r="G49" s="7"/>
    </row>
    <row r="50" spans="1:7" x14ac:dyDescent="0.2">
      <c r="A50" s="5">
        <v>48</v>
      </c>
      <c r="B50" s="7"/>
      <c r="C50" s="7"/>
      <c r="D50" s="8" t="str">
        <f t="shared" si="1"/>
        <v/>
      </c>
      <c r="E50" s="7"/>
      <c r="F50" s="7"/>
      <c r="G50" s="7"/>
    </row>
    <row r="51" spans="1:7" x14ac:dyDescent="0.2">
      <c r="A51" s="5">
        <v>49</v>
      </c>
      <c r="B51" s="7"/>
      <c r="C51" s="7"/>
      <c r="D51" s="8" t="str">
        <f t="shared" si="1"/>
        <v/>
      </c>
      <c r="E51" s="7"/>
      <c r="F51" s="7"/>
      <c r="G51" s="7"/>
    </row>
    <row r="52" spans="1:7" x14ac:dyDescent="0.2">
      <c r="A52" s="5">
        <v>50</v>
      </c>
      <c r="B52" s="7"/>
      <c r="C52" s="7"/>
      <c r="D52" s="8" t="str">
        <f t="shared" si="1"/>
        <v/>
      </c>
      <c r="E52" s="7"/>
      <c r="F52" s="7"/>
      <c r="G52" s="7"/>
    </row>
    <row r="53" spans="1:7" x14ac:dyDescent="0.2">
      <c r="A53" s="5">
        <v>51</v>
      </c>
      <c r="B53" s="7"/>
      <c r="C53" s="7"/>
      <c r="D53" s="8" t="str">
        <f t="shared" si="1"/>
        <v/>
      </c>
      <c r="E53" s="7"/>
      <c r="F53" s="7"/>
      <c r="G53" s="7"/>
    </row>
    <row r="54" spans="1:7" x14ac:dyDescent="0.2">
      <c r="A54" s="5">
        <v>52</v>
      </c>
      <c r="B54" s="7"/>
      <c r="C54" s="7"/>
      <c r="D54" s="8" t="str">
        <f t="shared" si="1"/>
        <v/>
      </c>
      <c r="E54" s="7"/>
      <c r="F54" s="7"/>
      <c r="G54" s="7"/>
    </row>
    <row r="55" spans="1:7" x14ac:dyDescent="0.2">
      <c r="A55" s="5">
        <v>53</v>
      </c>
      <c r="B55" s="7"/>
      <c r="C55" s="7"/>
      <c r="D55" s="8" t="str">
        <f t="shared" si="1"/>
        <v/>
      </c>
      <c r="E55" s="7"/>
      <c r="F55" s="7"/>
      <c r="G55" s="7"/>
    </row>
    <row r="56" spans="1:7" x14ac:dyDescent="0.2">
      <c r="A56" s="5">
        <v>54</v>
      </c>
      <c r="B56" s="7"/>
      <c r="C56" s="7"/>
      <c r="D56" s="8" t="str">
        <f t="shared" si="1"/>
        <v/>
      </c>
      <c r="E56" s="7"/>
      <c r="F56" s="7"/>
      <c r="G56" s="7"/>
    </row>
    <row r="57" spans="1:7" x14ac:dyDescent="0.2">
      <c r="A57" s="5">
        <v>55</v>
      </c>
      <c r="B57" s="7"/>
      <c r="C57" s="7"/>
      <c r="D57" s="8" t="str">
        <f t="shared" si="1"/>
        <v/>
      </c>
      <c r="E57" s="7"/>
      <c r="F57" s="7"/>
      <c r="G57" s="7"/>
    </row>
    <row r="58" spans="1:7" x14ac:dyDescent="0.2">
      <c r="A58" s="5">
        <v>56</v>
      </c>
      <c r="B58" s="7"/>
      <c r="C58" s="7"/>
      <c r="D58" s="8" t="str">
        <f t="shared" si="1"/>
        <v/>
      </c>
      <c r="E58" s="7"/>
      <c r="F58" s="7"/>
      <c r="G58" s="7"/>
    </row>
    <row r="59" spans="1:7" x14ac:dyDescent="0.2">
      <c r="A59" s="5">
        <v>57</v>
      </c>
      <c r="B59" s="7"/>
      <c r="C59" s="7"/>
      <c r="D59" s="8" t="str">
        <f t="shared" si="1"/>
        <v/>
      </c>
      <c r="E59" s="7"/>
      <c r="F59" s="7"/>
      <c r="G59" s="7"/>
    </row>
    <row r="60" spans="1:7" x14ac:dyDescent="0.2">
      <c r="A60" s="5">
        <v>58</v>
      </c>
      <c r="B60" s="7"/>
      <c r="C60" s="7"/>
      <c r="D60" s="8" t="str">
        <f t="shared" si="1"/>
        <v/>
      </c>
      <c r="E60" s="7"/>
      <c r="F60" s="7"/>
      <c r="G60" s="7"/>
    </row>
    <row r="61" spans="1:7" x14ac:dyDescent="0.2">
      <c r="A61" s="5">
        <v>59</v>
      </c>
      <c r="B61" s="7"/>
      <c r="C61" s="7"/>
      <c r="D61" s="8" t="str">
        <f t="shared" si="1"/>
        <v/>
      </c>
      <c r="E61" s="7"/>
      <c r="F61" s="7"/>
      <c r="G61" s="7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G1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18" customWidth="1"/>
    <col min="4" max="4" width="16" customWidth="1"/>
    <col min="5" max="5" width="22" customWidth="1"/>
    <col min="6" max="6" width="14" customWidth="1"/>
    <col min="7" max="7" width="28" customWidth="1"/>
  </cols>
  <sheetData>
    <row r="1" spans="1:7" ht="31.5" customHeight="1" x14ac:dyDescent="0.2">
      <c r="A1" s="19" t="s">
        <v>108</v>
      </c>
      <c r="B1" s="19"/>
      <c r="C1" s="19"/>
      <c r="D1" s="19"/>
      <c r="E1" s="19"/>
      <c r="F1" s="19"/>
      <c r="G1" s="19"/>
    </row>
    <row r="2" spans="1:7" ht="27.75" customHeight="1" x14ac:dyDescent="0.2">
      <c r="A2" s="4" t="s">
        <v>92</v>
      </c>
      <c r="B2" s="4" t="s">
        <v>93</v>
      </c>
      <c r="C2" s="4" t="s">
        <v>109</v>
      </c>
      <c r="D2" s="4" t="s">
        <v>101</v>
      </c>
      <c r="E2" s="4" t="s">
        <v>102</v>
      </c>
      <c r="F2" s="4" t="s">
        <v>103</v>
      </c>
      <c r="G2" s="4" t="s">
        <v>98</v>
      </c>
    </row>
    <row r="3" spans="1:7" x14ac:dyDescent="0.2">
      <c r="A3" s="5">
        <v>1</v>
      </c>
      <c r="B3" s="7"/>
      <c r="C3" s="7"/>
      <c r="D3" s="8" t="str">
        <f t="shared" ref="D3:D34" si="0">IF(OR(C3="",COUNT($C$3:$C$61)&lt;2),"",(C3-MIN($C$3:$C$61))/(MAX($C$3:$C$61)-MIN($C$3:$C$61)))</f>
        <v/>
      </c>
      <c r="E3" s="7"/>
      <c r="F3" s="7"/>
      <c r="G3" s="7"/>
    </row>
    <row r="4" spans="1:7" x14ac:dyDescent="0.2">
      <c r="A4" s="5">
        <v>2</v>
      </c>
      <c r="B4" s="7"/>
      <c r="C4" s="7"/>
      <c r="D4" s="8" t="str">
        <f t="shared" si="0"/>
        <v/>
      </c>
      <c r="E4" s="7"/>
      <c r="F4" s="7"/>
      <c r="G4" s="7"/>
    </row>
    <row r="5" spans="1:7" x14ac:dyDescent="0.2">
      <c r="A5" s="5">
        <v>3</v>
      </c>
      <c r="B5" s="7"/>
      <c r="C5" s="7"/>
      <c r="D5" s="8" t="str">
        <f t="shared" si="0"/>
        <v/>
      </c>
      <c r="E5" s="7"/>
      <c r="F5" s="7"/>
      <c r="G5" s="7"/>
    </row>
    <row r="6" spans="1:7" x14ac:dyDescent="0.2">
      <c r="A6" s="5">
        <v>4</v>
      </c>
      <c r="B6" s="7"/>
      <c r="C6" s="7"/>
      <c r="D6" s="8" t="str">
        <f t="shared" si="0"/>
        <v/>
      </c>
      <c r="E6" s="7"/>
      <c r="F6" s="7"/>
      <c r="G6" s="7"/>
    </row>
    <row r="7" spans="1:7" x14ac:dyDescent="0.2">
      <c r="A7" s="5">
        <v>5</v>
      </c>
      <c r="B7" s="7"/>
      <c r="C7" s="7"/>
      <c r="D7" s="8" t="str">
        <f t="shared" si="0"/>
        <v/>
      </c>
      <c r="E7" s="7"/>
      <c r="F7" s="7"/>
      <c r="G7" s="7"/>
    </row>
    <row r="8" spans="1:7" x14ac:dyDescent="0.2">
      <c r="A8" s="5">
        <v>6</v>
      </c>
      <c r="B8" s="7"/>
      <c r="C8" s="7"/>
      <c r="D8" s="8" t="str">
        <f t="shared" si="0"/>
        <v/>
      </c>
      <c r="E8" s="7"/>
      <c r="F8" s="7"/>
      <c r="G8" s="7"/>
    </row>
    <row r="9" spans="1:7" x14ac:dyDescent="0.2">
      <c r="A9" s="5">
        <v>7</v>
      </c>
      <c r="B9" s="7"/>
      <c r="C9" s="7"/>
      <c r="D9" s="8" t="str">
        <f t="shared" si="0"/>
        <v/>
      </c>
      <c r="E9" s="7"/>
      <c r="F9" s="7"/>
      <c r="G9" s="7"/>
    </row>
    <row r="10" spans="1:7" x14ac:dyDescent="0.2">
      <c r="A10" s="5">
        <v>8</v>
      </c>
      <c r="B10" s="7"/>
      <c r="C10" s="7"/>
      <c r="D10" s="8" t="str">
        <f t="shared" si="0"/>
        <v/>
      </c>
      <c r="E10" s="7"/>
      <c r="F10" s="7"/>
      <c r="G10" s="7"/>
    </row>
    <row r="11" spans="1:7" x14ac:dyDescent="0.2">
      <c r="A11" s="5">
        <v>9</v>
      </c>
      <c r="B11" s="7"/>
      <c r="C11" s="7"/>
      <c r="D11" s="8" t="str">
        <f t="shared" si="0"/>
        <v/>
      </c>
      <c r="E11" s="7"/>
      <c r="F11" s="7"/>
      <c r="G11" s="7"/>
    </row>
    <row r="12" spans="1:7" x14ac:dyDescent="0.2">
      <c r="A12" s="5">
        <v>10</v>
      </c>
      <c r="B12" s="7"/>
      <c r="C12" s="7"/>
      <c r="D12" s="8" t="str">
        <f t="shared" si="0"/>
        <v/>
      </c>
      <c r="E12" s="7"/>
      <c r="F12" s="7"/>
      <c r="G12" s="7"/>
    </row>
    <row r="13" spans="1:7" x14ac:dyDescent="0.2">
      <c r="A13" s="5">
        <v>11</v>
      </c>
      <c r="B13" s="7"/>
      <c r="C13" s="7"/>
      <c r="D13" s="8" t="str">
        <f t="shared" si="0"/>
        <v/>
      </c>
      <c r="E13" s="7"/>
      <c r="F13" s="7"/>
      <c r="G13" s="7"/>
    </row>
    <row r="14" spans="1:7" x14ac:dyDescent="0.2">
      <c r="A14" s="5">
        <v>12</v>
      </c>
      <c r="B14" s="7"/>
      <c r="C14" s="7"/>
      <c r="D14" s="8" t="str">
        <f t="shared" si="0"/>
        <v/>
      </c>
      <c r="E14" s="7"/>
      <c r="F14" s="7"/>
      <c r="G14" s="7"/>
    </row>
    <row r="15" spans="1:7" x14ac:dyDescent="0.2">
      <c r="A15" s="5">
        <v>13</v>
      </c>
      <c r="B15" s="7"/>
      <c r="C15" s="7"/>
      <c r="D15" s="8" t="str">
        <f t="shared" si="0"/>
        <v/>
      </c>
      <c r="E15" s="7"/>
      <c r="F15" s="7"/>
      <c r="G15" s="7"/>
    </row>
    <row r="16" spans="1:7" x14ac:dyDescent="0.2">
      <c r="A16" s="5">
        <v>14</v>
      </c>
      <c r="B16" s="7"/>
      <c r="C16" s="7"/>
      <c r="D16" s="8" t="str">
        <f t="shared" si="0"/>
        <v/>
      </c>
      <c r="E16" s="7"/>
      <c r="F16" s="7"/>
      <c r="G16" s="7"/>
    </row>
    <row r="17" spans="1:7" x14ac:dyDescent="0.2">
      <c r="A17" s="5">
        <v>15</v>
      </c>
      <c r="B17" s="7"/>
      <c r="C17" s="7"/>
      <c r="D17" s="8" t="str">
        <f t="shared" si="0"/>
        <v/>
      </c>
      <c r="E17" s="7"/>
      <c r="F17" s="7"/>
      <c r="G17" s="7"/>
    </row>
    <row r="18" spans="1:7" x14ac:dyDescent="0.2">
      <c r="A18" s="5">
        <v>16</v>
      </c>
      <c r="B18" s="7"/>
      <c r="C18" s="7"/>
      <c r="D18" s="8" t="str">
        <f t="shared" si="0"/>
        <v/>
      </c>
      <c r="E18" s="7"/>
      <c r="F18" s="7"/>
      <c r="G18" s="7"/>
    </row>
    <row r="19" spans="1:7" x14ac:dyDescent="0.2">
      <c r="A19" s="5">
        <v>17</v>
      </c>
      <c r="B19" s="7"/>
      <c r="C19" s="7"/>
      <c r="D19" s="8" t="str">
        <f t="shared" si="0"/>
        <v/>
      </c>
      <c r="E19" s="7"/>
      <c r="F19" s="7"/>
      <c r="G19" s="7"/>
    </row>
    <row r="20" spans="1:7" x14ac:dyDescent="0.2">
      <c r="A20" s="5">
        <v>18</v>
      </c>
      <c r="B20" s="7"/>
      <c r="C20" s="7"/>
      <c r="D20" s="8" t="str">
        <f t="shared" si="0"/>
        <v/>
      </c>
      <c r="E20" s="7"/>
      <c r="F20" s="7"/>
      <c r="G20" s="7"/>
    </row>
    <row r="21" spans="1:7" x14ac:dyDescent="0.2">
      <c r="A21" s="5">
        <v>19</v>
      </c>
      <c r="B21" s="7"/>
      <c r="C21" s="7"/>
      <c r="D21" s="8" t="str">
        <f t="shared" si="0"/>
        <v/>
      </c>
      <c r="E21" s="7"/>
      <c r="F21" s="7"/>
      <c r="G21" s="7"/>
    </row>
    <row r="22" spans="1:7" x14ac:dyDescent="0.2">
      <c r="A22" s="5">
        <v>20</v>
      </c>
      <c r="B22" s="7"/>
      <c r="C22" s="7"/>
      <c r="D22" s="8" t="str">
        <f t="shared" si="0"/>
        <v/>
      </c>
      <c r="E22" s="7"/>
      <c r="F22" s="7"/>
      <c r="G22" s="7"/>
    </row>
    <row r="23" spans="1:7" x14ac:dyDescent="0.2">
      <c r="A23" s="5">
        <v>21</v>
      </c>
      <c r="B23" s="7"/>
      <c r="C23" s="7"/>
      <c r="D23" s="8" t="str">
        <f t="shared" si="0"/>
        <v/>
      </c>
      <c r="E23" s="7"/>
      <c r="F23" s="7"/>
      <c r="G23" s="7"/>
    </row>
    <row r="24" spans="1:7" x14ac:dyDescent="0.2">
      <c r="A24" s="5">
        <v>22</v>
      </c>
      <c r="B24" s="7"/>
      <c r="C24" s="7"/>
      <c r="D24" s="8" t="str">
        <f t="shared" si="0"/>
        <v/>
      </c>
      <c r="E24" s="7"/>
      <c r="F24" s="7"/>
      <c r="G24" s="7"/>
    </row>
    <row r="25" spans="1:7" x14ac:dyDescent="0.2">
      <c r="A25" s="5">
        <v>23</v>
      </c>
      <c r="B25" s="7"/>
      <c r="C25" s="7"/>
      <c r="D25" s="8" t="str">
        <f t="shared" si="0"/>
        <v/>
      </c>
      <c r="E25" s="7"/>
      <c r="F25" s="7"/>
      <c r="G25" s="7"/>
    </row>
    <row r="26" spans="1:7" x14ac:dyDescent="0.2">
      <c r="A26" s="5">
        <v>24</v>
      </c>
      <c r="B26" s="7"/>
      <c r="C26" s="7"/>
      <c r="D26" s="8" t="str">
        <f t="shared" si="0"/>
        <v/>
      </c>
      <c r="E26" s="7"/>
      <c r="F26" s="7"/>
      <c r="G26" s="7"/>
    </row>
    <row r="27" spans="1:7" x14ac:dyDescent="0.2">
      <c r="A27" s="5">
        <v>25</v>
      </c>
      <c r="B27" s="7"/>
      <c r="C27" s="7"/>
      <c r="D27" s="8" t="str">
        <f t="shared" si="0"/>
        <v/>
      </c>
      <c r="E27" s="7"/>
      <c r="F27" s="7"/>
      <c r="G27" s="7"/>
    </row>
    <row r="28" spans="1:7" x14ac:dyDescent="0.2">
      <c r="A28" s="5">
        <v>26</v>
      </c>
      <c r="B28" s="7"/>
      <c r="C28" s="7"/>
      <c r="D28" s="8" t="str">
        <f t="shared" si="0"/>
        <v/>
      </c>
      <c r="E28" s="7"/>
      <c r="F28" s="7"/>
      <c r="G28" s="7"/>
    </row>
    <row r="29" spans="1:7" x14ac:dyDescent="0.2">
      <c r="A29" s="5">
        <v>27</v>
      </c>
      <c r="B29" s="7"/>
      <c r="C29" s="7"/>
      <c r="D29" s="8" t="str">
        <f t="shared" si="0"/>
        <v/>
      </c>
      <c r="E29" s="7"/>
      <c r="F29" s="7"/>
      <c r="G29" s="7"/>
    </row>
    <row r="30" spans="1:7" x14ac:dyDescent="0.2">
      <c r="A30" s="5">
        <v>28</v>
      </c>
      <c r="B30" s="7"/>
      <c r="C30" s="7"/>
      <c r="D30" s="8" t="str">
        <f t="shared" si="0"/>
        <v/>
      </c>
      <c r="E30" s="7"/>
      <c r="F30" s="7"/>
      <c r="G30" s="7"/>
    </row>
    <row r="31" spans="1:7" x14ac:dyDescent="0.2">
      <c r="A31" s="5">
        <v>29</v>
      </c>
      <c r="B31" s="7"/>
      <c r="C31" s="7"/>
      <c r="D31" s="8" t="str">
        <f t="shared" si="0"/>
        <v/>
      </c>
      <c r="E31" s="7"/>
      <c r="F31" s="7"/>
      <c r="G31" s="7"/>
    </row>
    <row r="32" spans="1:7" x14ac:dyDescent="0.2">
      <c r="A32" s="5">
        <v>30</v>
      </c>
      <c r="B32" s="7"/>
      <c r="C32" s="7"/>
      <c r="D32" s="8" t="str">
        <f t="shared" si="0"/>
        <v/>
      </c>
      <c r="E32" s="7"/>
      <c r="F32" s="7"/>
      <c r="G32" s="7"/>
    </row>
    <row r="33" spans="1:7" x14ac:dyDescent="0.2">
      <c r="A33" s="5">
        <v>31</v>
      </c>
      <c r="B33" s="7"/>
      <c r="C33" s="7"/>
      <c r="D33" s="8" t="str">
        <f t="shared" si="0"/>
        <v/>
      </c>
      <c r="E33" s="7"/>
      <c r="F33" s="7"/>
      <c r="G33" s="7"/>
    </row>
    <row r="34" spans="1:7" x14ac:dyDescent="0.2">
      <c r="A34" s="5">
        <v>32</v>
      </c>
      <c r="B34" s="7"/>
      <c r="C34" s="7"/>
      <c r="D34" s="8" t="str">
        <f t="shared" si="0"/>
        <v/>
      </c>
      <c r="E34" s="7"/>
      <c r="F34" s="7"/>
      <c r="G34" s="7"/>
    </row>
    <row r="35" spans="1:7" x14ac:dyDescent="0.2">
      <c r="A35" s="5">
        <v>33</v>
      </c>
      <c r="B35" s="7"/>
      <c r="C35" s="7"/>
      <c r="D35" s="8" t="str">
        <f t="shared" ref="D35:D61" si="1">IF(OR(C35="",COUNT($C$3:$C$61)&lt;2),"",(C35-MIN($C$3:$C$61))/(MAX($C$3:$C$61)-MIN($C$3:$C$61)))</f>
        <v/>
      </c>
      <c r="E35" s="7"/>
      <c r="F35" s="7"/>
      <c r="G35" s="7"/>
    </row>
    <row r="36" spans="1:7" x14ac:dyDescent="0.2">
      <c r="A36" s="5">
        <v>34</v>
      </c>
      <c r="B36" s="7"/>
      <c r="C36" s="7"/>
      <c r="D36" s="8" t="str">
        <f t="shared" si="1"/>
        <v/>
      </c>
      <c r="E36" s="7"/>
      <c r="F36" s="7"/>
      <c r="G36" s="7"/>
    </row>
    <row r="37" spans="1:7" x14ac:dyDescent="0.2">
      <c r="A37" s="5">
        <v>35</v>
      </c>
      <c r="B37" s="7"/>
      <c r="C37" s="7"/>
      <c r="D37" s="8" t="str">
        <f t="shared" si="1"/>
        <v/>
      </c>
      <c r="E37" s="7"/>
      <c r="F37" s="7"/>
      <c r="G37" s="7"/>
    </row>
    <row r="38" spans="1:7" x14ac:dyDescent="0.2">
      <c r="A38" s="5">
        <v>36</v>
      </c>
      <c r="B38" s="7"/>
      <c r="C38" s="7"/>
      <c r="D38" s="8" t="str">
        <f t="shared" si="1"/>
        <v/>
      </c>
      <c r="E38" s="7"/>
      <c r="F38" s="7"/>
      <c r="G38" s="7"/>
    </row>
    <row r="39" spans="1:7" x14ac:dyDescent="0.2">
      <c r="A39" s="5">
        <v>37</v>
      </c>
      <c r="B39" s="7"/>
      <c r="C39" s="7"/>
      <c r="D39" s="8" t="str">
        <f t="shared" si="1"/>
        <v/>
      </c>
      <c r="E39" s="7"/>
      <c r="F39" s="7"/>
      <c r="G39" s="7"/>
    </row>
    <row r="40" spans="1:7" x14ac:dyDescent="0.2">
      <c r="A40" s="5">
        <v>38</v>
      </c>
      <c r="B40" s="7"/>
      <c r="C40" s="7"/>
      <c r="D40" s="8" t="str">
        <f t="shared" si="1"/>
        <v/>
      </c>
      <c r="E40" s="7"/>
      <c r="F40" s="7"/>
      <c r="G40" s="7"/>
    </row>
    <row r="41" spans="1:7" x14ac:dyDescent="0.2">
      <c r="A41" s="5">
        <v>39</v>
      </c>
      <c r="B41" s="7"/>
      <c r="C41" s="7"/>
      <c r="D41" s="8" t="str">
        <f t="shared" si="1"/>
        <v/>
      </c>
      <c r="E41" s="7"/>
      <c r="F41" s="7"/>
      <c r="G41" s="7"/>
    </row>
    <row r="42" spans="1:7" x14ac:dyDescent="0.2">
      <c r="A42" s="5">
        <v>40</v>
      </c>
      <c r="B42" s="7"/>
      <c r="C42" s="7"/>
      <c r="D42" s="8" t="str">
        <f t="shared" si="1"/>
        <v/>
      </c>
      <c r="E42" s="7"/>
      <c r="F42" s="7"/>
      <c r="G42" s="7"/>
    </row>
    <row r="43" spans="1:7" x14ac:dyDescent="0.2">
      <c r="A43" s="5">
        <v>41</v>
      </c>
      <c r="B43" s="7"/>
      <c r="C43" s="7"/>
      <c r="D43" s="8" t="str">
        <f t="shared" si="1"/>
        <v/>
      </c>
      <c r="E43" s="7"/>
      <c r="F43" s="7"/>
      <c r="G43" s="7"/>
    </row>
    <row r="44" spans="1:7" x14ac:dyDescent="0.2">
      <c r="A44" s="5">
        <v>42</v>
      </c>
      <c r="B44" s="7"/>
      <c r="C44" s="7"/>
      <c r="D44" s="8" t="str">
        <f t="shared" si="1"/>
        <v/>
      </c>
      <c r="E44" s="7"/>
      <c r="F44" s="7"/>
      <c r="G44" s="7"/>
    </row>
    <row r="45" spans="1:7" x14ac:dyDescent="0.2">
      <c r="A45" s="5">
        <v>43</v>
      </c>
      <c r="B45" s="7"/>
      <c r="C45" s="7"/>
      <c r="D45" s="8" t="str">
        <f t="shared" si="1"/>
        <v/>
      </c>
      <c r="E45" s="7"/>
      <c r="F45" s="7"/>
      <c r="G45" s="7"/>
    </row>
    <row r="46" spans="1:7" x14ac:dyDescent="0.2">
      <c r="A46" s="5">
        <v>44</v>
      </c>
      <c r="B46" s="7"/>
      <c r="C46" s="7"/>
      <c r="D46" s="8" t="str">
        <f t="shared" si="1"/>
        <v/>
      </c>
      <c r="E46" s="7"/>
      <c r="F46" s="7"/>
      <c r="G46" s="7"/>
    </row>
    <row r="47" spans="1:7" x14ac:dyDescent="0.2">
      <c r="A47" s="5">
        <v>45</v>
      </c>
      <c r="B47" s="7"/>
      <c r="C47" s="7"/>
      <c r="D47" s="8" t="str">
        <f t="shared" si="1"/>
        <v/>
      </c>
      <c r="E47" s="7"/>
      <c r="F47" s="7"/>
      <c r="G47" s="7"/>
    </row>
    <row r="48" spans="1:7" x14ac:dyDescent="0.2">
      <c r="A48" s="5">
        <v>46</v>
      </c>
      <c r="B48" s="7"/>
      <c r="C48" s="7"/>
      <c r="D48" s="8" t="str">
        <f t="shared" si="1"/>
        <v/>
      </c>
      <c r="E48" s="7"/>
      <c r="F48" s="7"/>
      <c r="G48" s="7"/>
    </row>
    <row r="49" spans="1:7" x14ac:dyDescent="0.2">
      <c r="A49" s="5">
        <v>47</v>
      </c>
      <c r="B49" s="7"/>
      <c r="C49" s="7"/>
      <c r="D49" s="8" t="str">
        <f t="shared" si="1"/>
        <v/>
      </c>
      <c r="E49" s="7"/>
      <c r="F49" s="7"/>
      <c r="G49" s="7"/>
    </row>
    <row r="50" spans="1:7" x14ac:dyDescent="0.2">
      <c r="A50" s="5">
        <v>48</v>
      </c>
      <c r="B50" s="7"/>
      <c r="C50" s="7"/>
      <c r="D50" s="8" t="str">
        <f t="shared" si="1"/>
        <v/>
      </c>
      <c r="E50" s="7"/>
      <c r="F50" s="7"/>
      <c r="G50" s="7"/>
    </row>
    <row r="51" spans="1:7" x14ac:dyDescent="0.2">
      <c r="A51" s="5">
        <v>49</v>
      </c>
      <c r="B51" s="7"/>
      <c r="C51" s="7"/>
      <c r="D51" s="8" t="str">
        <f t="shared" si="1"/>
        <v/>
      </c>
      <c r="E51" s="7"/>
      <c r="F51" s="7"/>
      <c r="G51" s="7"/>
    </row>
    <row r="52" spans="1:7" x14ac:dyDescent="0.2">
      <c r="A52" s="5">
        <v>50</v>
      </c>
      <c r="B52" s="7"/>
      <c r="C52" s="7"/>
      <c r="D52" s="8" t="str">
        <f t="shared" si="1"/>
        <v/>
      </c>
      <c r="E52" s="7"/>
      <c r="F52" s="7"/>
      <c r="G52" s="7"/>
    </row>
    <row r="53" spans="1:7" x14ac:dyDescent="0.2">
      <c r="A53" s="5">
        <v>51</v>
      </c>
      <c r="B53" s="7"/>
      <c r="C53" s="7"/>
      <c r="D53" s="8" t="str">
        <f t="shared" si="1"/>
        <v/>
      </c>
      <c r="E53" s="7"/>
      <c r="F53" s="7"/>
      <c r="G53" s="7"/>
    </row>
    <row r="54" spans="1:7" x14ac:dyDescent="0.2">
      <c r="A54" s="5">
        <v>52</v>
      </c>
      <c r="B54" s="7"/>
      <c r="C54" s="7"/>
      <c r="D54" s="8" t="str">
        <f t="shared" si="1"/>
        <v/>
      </c>
      <c r="E54" s="7"/>
      <c r="F54" s="7"/>
      <c r="G54" s="7"/>
    </row>
    <row r="55" spans="1:7" x14ac:dyDescent="0.2">
      <c r="A55" s="5">
        <v>53</v>
      </c>
      <c r="B55" s="7"/>
      <c r="C55" s="7"/>
      <c r="D55" s="8" t="str">
        <f t="shared" si="1"/>
        <v/>
      </c>
      <c r="E55" s="7"/>
      <c r="F55" s="7"/>
      <c r="G55" s="7"/>
    </row>
    <row r="56" spans="1:7" x14ac:dyDescent="0.2">
      <c r="A56" s="5">
        <v>54</v>
      </c>
      <c r="B56" s="7"/>
      <c r="C56" s="7"/>
      <c r="D56" s="8" t="str">
        <f t="shared" si="1"/>
        <v/>
      </c>
      <c r="E56" s="7"/>
      <c r="F56" s="7"/>
      <c r="G56" s="7"/>
    </row>
    <row r="57" spans="1:7" x14ac:dyDescent="0.2">
      <c r="A57" s="5">
        <v>55</v>
      </c>
      <c r="B57" s="7"/>
      <c r="C57" s="7"/>
      <c r="D57" s="8" t="str">
        <f t="shared" si="1"/>
        <v/>
      </c>
      <c r="E57" s="7"/>
      <c r="F57" s="7"/>
      <c r="G57" s="7"/>
    </row>
    <row r="58" spans="1:7" x14ac:dyDescent="0.2">
      <c r="A58" s="5">
        <v>56</v>
      </c>
      <c r="B58" s="7"/>
      <c r="C58" s="7"/>
      <c r="D58" s="8" t="str">
        <f t="shared" si="1"/>
        <v/>
      </c>
      <c r="E58" s="7"/>
      <c r="F58" s="7"/>
      <c r="G58" s="7"/>
    </row>
    <row r="59" spans="1:7" x14ac:dyDescent="0.2">
      <c r="A59" s="5">
        <v>57</v>
      </c>
      <c r="B59" s="7"/>
      <c r="C59" s="7"/>
      <c r="D59" s="8" t="str">
        <f t="shared" si="1"/>
        <v/>
      </c>
      <c r="E59" s="7"/>
      <c r="F59" s="7"/>
      <c r="G59" s="7"/>
    </row>
    <row r="60" spans="1:7" x14ac:dyDescent="0.2">
      <c r="A60" s="5">
        <v>58</v>
      </c>
      <c r="B60" s="7"/>
      <c r="C60" s="7"/>
      <c r="D60" s="8" t="str">
        <f t="shared" si="1"/>
        <v/>
      </c>
      <c r="E60" s="7"/>
      <c r="F60" s="7"/>
      <c r="G60" s="7"/>
    </row>
    <row r="61" spans="1:7" x14ac:dyDescent="0.2">
      <c r="A61" s="5">
        <v>59</v>
      </c>
      <c r="B61" s="7"/>
      <c r="C61" s="7"/>
      <c r="D61" s="8" t="str">
        <f t="shared" si="1"/>
        <v/>
      </c>
      <c r="E61" s="7"/>
      <c r="F61" s="7"/>
      <c r="G61" s="7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5" sqref="O15"/>
    </sheetView>
  </sheetViews>
  <sheetFormatPr baseColWidth="10" defaultColWidth="8.6640625" defaultRowHeight="15" x14ac:dyDescent="0.2"/>
  <cols>
    <col min="1" max="1" width="5" customWidth="1"/>
    <col min="2" max="3" width="26" customWidth="1"/>
    <col min="4" max="4" width="14" customWidth="1"/>
    <col min="5" max="5" width="12" customWidth="1"/>
    <col min="6" max="6" width="16" customWidth="1"/>
    <col min="7" max="7" width="22" customWidth="1"/>
    <col min="8" max="8" width="28" customWidth="1"/>
  </cols>
  <sheetData>
    <row r="1" spans="1:8" ht="31.5" customHeight="1" x14ac:dyDescent="0.2">
      <c r="A1" s="18" t="s">
        <v>110</v>
      </c>
      <c r="B1" s="18"/>
      <c r="C1" s="18"/>
      <c r="D1" s="18"/>
      <c r="E1" s="18"/>
      <c r="F1" s="18"/>
      <c r="G1" s="18"/>
      <c r="H1" s="18"/>
    </row>
    <row r="2" spans="1:8" ht="27.75" customHeight="1" x14ac:dyDescent="0.2">
      <c r="A2" s="4" t="s">
        <v>92</v>
      </c>
      <c r="B2" s="4" t="s">
        <v>93</v>
      </c>
      <c r="C2" s="4" t="s">
        <v>258</v>
      </c>
      <c r="D2" s="4" t="s">
        <v>111</v>
      </c>
      <c r="E2" s="4" t="s">
        <v>43</v>
      </c>
      <c r="F2" s="4" t="s">
        <v>112</v>
      </c>
      <c r="G2" s="4" t="s">
        <v>102</v>
      </c>
      <c r="H2" s="4" t="s">
        <v>98</v>
      </c>
    </row>
    <row r="3" spans="1:8" x14ac:dyDescent="0.2">
      <c r="A3" s="5">
        <v>1</v>
      </c>
      <c r="B3" t="s">
        <v>128</v>
      </c>
      <c r="C3" t="s">
        <v>196</v>
      </c>
      <c r="D3">
        <v>2</v>
      </c>
      <c r="E3" s="8">
        <f>IFERROR(VLOOKUP(D3, Methodology!$A$22:$B$26, 2, FALSE()), "")</f>
        <v>0.3</v>
      </c>
      <c r="F3" s="7"/>
      <c r="G3" s="7"/>
      <c r="H3" s="7"/>
    </row>
    <row r="4" spans="1:8" x14ac:dyDescent="0.2">
      <c r="A4" s="5">
        <v>2</v>
      </c>
      <c r="B4" t="s">
        <v>129</v>
      </c>
      <c r="C4" t="s">
        <v>197</v>
      </c>
      <c r="D4">
        <v>2</v>
      </c>
      <c r="E4" s="8">
        <f>IFERROR(VLOOKUP(D4, Methodology!$A$22:$B$26, 2, FALSE()), "")</f>
        <v>0.3</v>
      </c>
      <c r="F4" s="7"/>
      <c r="G4" s="7"/>
      <c r="H4" s="7"/>
    </row>
    <row r="5" spans="1:8" x14ac:dyDescent="0.2">
      <c r="A5" s="5">
        <v>3</v>
      </c>
      <c r="B5" t="s">
        <v>130</v>
      </c>
      <c r="C5" t="s">
        <v>198</v>
      </c>
      <c r="D5">
        <v>3</v>
      </c>
      <c r="E5" s="8">
        <f>IFERROR(VLOOKUP(D5, Methodology!$A$22:$B$26, 2, FALSE()), "")</f>
        <v>0.6</v>
      </c>
      <c r="F5" s="7"/>
      <c r="G5" s="7"/>
      <c r="H5" s="7"/>
    </row>
    <row r="6" spans="1:8" x14ac:dyDescent="0.2">
      <c r="A6" s="5">
        <v>4</v>
      </c>
      <c r="B6" t="s">
        <v>131</v>
      </c>
      <c r="C6" t="s">
        <v>199</v>
      </c>
      <c r="D6">
        <v>2</v>
      </c>
      <c r="E6" s="8">
        <f>IFERROR(VLOOKUP(D6, Methodology!$A$22:$B$26, 2, FALSE()), "")</f>
        <v>0.3</v>
      </c>
      <c r="F6" s="7"/>
      <c r="G6" s="7"/>
      <c r="H6" s="7"/>
    </row>
    <row r="7" spans="1:8" x14ac:dyDescent="0.2">
      <c r="A7" s="5">
        <v>5</v>
      </c>
      <c r="B7" t="s">
        <v>132</v>
      </c>
      <c r="C7" t="s">
        <v>200</v>
      </c>
      <c r="D7">
        <v>3</v>
      </c>
      <c r="E7" s="8">
        <f>IFERROR(VLOOKUP(D7, Methodology!$A$22:$B$26, 2, FALSE()), "")</f>
        <v>0.6</v>
      </c>
      <c r="F7" s="7"/>
      <c r="G7" s="7"/>
      <c r="H7" s="7"/>
    </row>
    <row r="8" spans="1:8" x14ac:dyDescent="0.2">
      <c r="A8" s="5">
        <v>6</v>
      </c>
      <c r="B8" t="s">
        <v>133</v>
      </c>
      <c r="C8" t="s">
        <v>201</v>
      </c>
      <c r="D8">
        <v>2</v>
      </c>
      <c r="E8" s="8">
        <f>IFERROR(VLOOKUP(D8, Methodology!$A$22:$B$26, 2, FALSE()), "")</f>
        <v>0.3</v>
      </c>
      <c r="F8" s="7"/>
      <c r="G8" s="7"/>
      <c r="H8" s="7"/>
    </row>
    <row r="9" spans="1:8" x14ac:dyDescent="0.2">
      <c r="A9" s="5">
        <v>7</v>
      </c>
      <c r="B9" t="s">
        <v>134</v>
      </c>
      <c r="C9" t="s">
        <v>202</v>
      </c>
      <c r="D9">
        <v>2</v>
      </c>
      <c r="E9" s="8">
        <f>IFERROR(VLOOKUP(D9, Methodology!$A$22:$B$26, 2, FALSE()), "")</f>
        <v>0.3</v>
      </c>
      <c r="F9" s="7"/>
      <c r="G9" s="7"/>
      <c r="H9" s="7"/>
    </row>
    <row r="10" spans="1:8" x14ac:dyDescent="0.2">
      <c r="A10" s="5">
        <v>8</v>
      </c>
      <c r="B10" t="s">
        <v>135</v>
      </c>
      <c r="C10" t="s">
        <v>203</v>
      </c>
      <c r="D10">
        <v>3</v>
      </c>
      <c r="E10" s="8">
        <f>IFERROR(VLOOKUP(D10, Methodology!$A$22:$B$26, 2, FALSE()), "")</f>
        <v>0.6</v>
      </c>
      <c r="F10" s="7"/>
      <c r="G10" s="7"/>
      <c r="H10" s="7"/>
    </row>
    <row r="11" spans="1:8" x14ac:dyDescent="0.2">
      <c r="A11" s="5">
        <v>9</v>
      </c>
      <c r="B11" t="s">
        <v>136</v>
      </c>
      <c r="C11" t="s">
        <v>204</v>
      </c>
      <c r="D11">
        <v>2</v>
      </c>
      <c r="E11" s="8">
        <f>IFERROR(VLOOKUP(D11, Methodology!$A$22:$B$26, 2, FALSE()), "")</f>
        <v>0.3</v>
      </c>
      <c r="F11" s="7"/>
      <c r="G11" s="7"/>
      <c r="H11" s="7"/>
    </row>
    <row r="12" spans="1:8" x14ac:dyDescent="0.2">
      <c r="A12" s="5">
        <v>10</v>
      </c>
      <c r="B12" t="s">
        <v>137</v>
      </c>
      <c r="C12" t="s">
        <v>205</v>
      </c>
      <c r="D12">
        <v>2</v>
      </c>
      <c r="E12" s="8">
        <f>IFERROR(VLOOKUP(D12, Methodology!$A$22:$B$26, 2, FALSE()), "")</f>
        <v>0.3</v>
      </c>
      <c r="F12" s="7"/>
      <c r="G12" s="7"/>
      <c r="H12" s="7"/>
    </row>
    <row r="13" spans="1:8" x14ac:dyDescent="0.2">
      <c r="A13" s="5">
        <v>11</v>
      </c>
      <c r="B13" t="s">
        <v>138</v>
      </c>
      <c r="C13" t="s">
        <v>206</v>
      </c>
      <c r="D13">
        <v>2</v>
      </c>
      <c r="E13" s="8">
        <f>IFERROR(VLOOKUP(D13, Methodology!$A$22:$B$26, 2, FALSE()), "")</f>
        <v>0.3</v>
      </c>
      <c r="F13" s="7"/>
      <c r="G13" s="7"/>
      <c r="H13" s="7"/>
    </row>
    <row r="14" spans="1:8" x14ac:dyDescent="0.2">
      <c r="A14" s="5">
        <v>12</v>
      </c>
      <c r="B14" t="s">
        <v>139</v>
      </c>
      <c r="C14" t="s">
        <v>207</v>
      </c>
      <c r="D14">
        <v>2</v>
      </c>
      <c r="E14" s="8">
        <f>IFERROR(VLOOKUP(D14, Methodology!$A$22:$B$26, 2, FALSE()), "")</f>
        <v>0.3</v>
      </c>
      <c r="F14" s="7"/>
      <c r="G14" s="7"/>
      <c r="H14" s="7"/>
    </row>
    <row r="15" spans="1:8" x14ac:dyDescent="0.2">
      <c r="A15" s="5">
        <v>13</v>
      </c>
      <c r="B15" t="s">
        <v>140</v>
      </c>
      <c r="C15" t="s">
        <v>208</v>
      </c>
      <c r="D15">
        <v>2</v>
      </c>
      <c r="E15" s="8">
        <f>IFERROR(VLOOKUP(D15, Methodology!$A$22:$B$26, 2, FALSE()), "")</f>
        <v>0.3</v>
      </c>
      <c r="F15" s="7"/>
      <c r="G15" s="7"/>
      <c r="H15" s="7"/>
    </row>
    <row r="16" spans="1:8" x14ac:dyDescent="0.2">
      <c r="A16" s="5">
        <v>14</v>
      </c>
      <c r="B16" t="s">
        <v>141</v>
      </c>
      <c r="C16" t="s">
        <v>209</v>
      </c>
      <c r="D16">
        <v>2</v>
      </c>
      <c r="E16" s="8">
        <f>IFERROR(VLOOKUP(D16, Methodology!$A$22:$B$26, 2, FALSE()), "")</f>
        <v>0.3</v>
      </c>
      <c r="F16" s="7"/>
      <c r="G16" s="7"/>
      <c r="H16" s="7"/>
    </row>
    <row r="17" spans="1:8" x14ac:dyDescent="0.2">
      <c r="A17" s="5">
        <v>15</v>
      </c>
      <c r="B17" t="s">
        <v>142</v>
      </c>
      <c r="C17" t="s">
        <v>210</v>
      </c>
      <c r="D17">
        <v>2</v>
      </c>
      <c r="E17" s="8">
        <f>IFERROR(VLOOKUP(D17, Methodology!$A$22:$B$26, 2, FALSE()), "")</f>
        <v>0.3</v>
      </c>
      <c r="F17" s="7"/>
      <c r="G17" s="7"/>
      <c r="H17" s="7"/>
    </row>
    <row r="18" spans="1:8" x14ac:dyDescent="0.2">
      <c r="A18" s="5">
        <v>16</v>
      </c>
      <c r="B18" t="s">
        <v>143</v>
      </c>
      <c r="C18" t="s">
        <v>211</v>
      </c>
      <c r="D18">
        <v>2</v>
      </c>
      <c r="E18" s="8">
        <f>IFERROR(VLOOKUP(D18, Methodology!$A$22:$B$26, 2, FALSE()), "")</f>
        <v>0.3</v>
      </c>
      <c r="F18" s="7"/>
      <c r="G18" s="7"/>
      <c r="H18" s="7"/>
    </row>
    <row r="19" spans="1:8" x14ac:dyDescent="0.2">
      <c r="A19" s="5">
        <v>17</v>
      </c>
      <c r="B19" t="s">
        <v>144</v>
      </c>
      <c r="C19" t="s">
        <v>212</v>
      </c>
      <c r="D19">
        <v>3</v>
      </c>
      <c r="E19" s="8">
        <f>IFERROR(VLOOKUP(D19, Methodology!$A$22:$B$26, 2, FALSE()), "")</f>
        <v>0.6</v>
      </c>
      <c r="F19" s="7"/>
      <c r="G19" s="7"/>
      <c r="H19" s="7"/>
    </row>
    <row r="20" spans="1:8" x14ac:dyDescent="0.2">
      <c r="A20" s="5">
        <v>18</v>
      </c>
      <c r="B20" t="s">
        <v>145</v>
      </c>
      <c r="C20" t="s">
        <v>213</v>
      </c>
      <c r="D20">
        <v>2</v>
      </c>
      <c r="E20" s="8">
        <f>IFERROR(VLOOKUP(D20, Methodology!$A$22:$B$26, 2, FALSE()), "")</f>
        <v>0.3</v>
      </c>
      <c r="F20" s="7"/>
      <c r="G20" s="7"/>
      <c r="H20" s="7"/>
    </row>
    <row r="21" spans="1:8" x14ac:dyDescent="0.2">
      <c r="A21" s="5">
        <v>19</v>
      </c>
      <c r="B21" t="s">
        <v>146</v>
      </c>
      <c r="C21" t="s">
        <v>214</v>
      </c>
      <c r="D21">
        <v>2</v>
      </c>
      <c r="E21" s="8">
        <f>IFERROR(VLOOKUP(D21, Methodology!$A$22:$B$26, 2, FALSE()), "")</f>
        <v>0.3</v>
      </c>
      <c r="F21" s="7"/>
      <c r="G21" s="7"/>
      <c r="H21" s="7"/>
    </row>
    <row r="22" spans="1:8" x14ac:dyDescent="0.2">
      <c r="A22" s="5">
        <v>20</v>
      </c>
      <c r="B22" t="s">
        <v>147</v>
      </c>
      <c r="C22" t="s">
        <v>215</v>
      </c>
      <c r="D22">
        <v>2</v>
      </c>
      <c r="E22" s="8">
        <f>IFERROR(VLOOKUP(D22, Methodology!$A$22:$B$26, 2, FALSE()), "")</f>
        <v>0.3</v>
      </c>
      <c r="F22" s="7"/>
      <c r="G22" s="7"/>
      <c r="H22" s="7"/>
    </row>
    <row r="23" spans="1:8" x14ac:dyDescent="0.2">
      <c r="A23" s="5">
        <v>21</v>
      </c>
      <c r="B23" t="s">
        <v>148</v>
      </c>
      <c r="C23" t="s">
        <v>216</v>
      </c>
      <c r="D23">
        <v>3</v>
      </c>
      <c r="E23" s="8">
        <f>IFERROR(VLOOKUP(D23, Methodology!$A$22:$B$26, 2, FALSE()), "")</f>
        <v>0.6</v>
      </c>
      <c r="F23" s="7"/>
      <c r="G23" s="7"/>
      <c r="H23" s="7"/>
    </row>
    <row r="24" spans="1:8" x14ac:dyDescent="0.2">
      <c r="A24" s="5">
        <v>22</v>
      </c>
      <c r="B24" t="s">
        <v>149</v>
      </c>
      <c r="C24" t="s">
        <v>217</v>
      </c>
      <c r="D24">
        <v>3</v>
      </c>
      <c r="E24" s="8">
        <f>IFERROR(VLOOKUP(D24, Methodology!$A$22:$B$26, 2, FALSE()), "")</f>
        <v>0.6</v>
      </c>
      <c r="F24" s="7"/>
      <c r="G24" s="7"/>
      <c r="H24" s="7"/>
    </row>
    <row r="25" spans="1:8" x14ac:dyDescent="0.2">
      <c r="A25" s="5">
        <v>23</v>
      </c>
      <c r="B25" t="s">
        <v>150</v>
      </c>
      <c r="C25" t="s">
        <v>218</v>
      </c>
      <c r="D25">
        <v>3</v>
      </c>
      <c r="E25" s="8">
        <f>IFERROR(VLOOKUP(D25, Methodology!$A$22:$B$26, 2, FALSE()), "")</f>
        <v>0.6</v>
      </c>
      <c r="F25" s="7"/>
      <c r="G25" s="7"/>
      <c r="H25" s="7"/>
    </row>
    <row r="26" spans="1:8" x14ac:dyDescent="0.2">
      <c r="A26" s="5">
        <v>24</v>
      </c>
      <c r="B26" t="s">
        <v>151</v>
      </c>
      <c r="C26" t="s">
        <v>219</v>
      </c>
      <c r="D26">
        <v>3</v>
      </c>
      <c r="E26" s="8">
        <f>IFERROR(VLOOKUP(D26, Methodology!$A$22:$B$26, 2, FALSE()), "")</f>
        <v>0.6</v>
      </c>
      <c r="F26" s="7"/>
      <c r="G26" s="7"/>
      <c r="H26" s="7"/>
    </row>
    <row r="27" spans="1:8" x14ac:dyDescent="0.2">
      <c r="A27" s="5">
        <v>25</v>
      </c>
      <c r="B27" t="s">
        <v>152</v>
      </c>
      <c r="C27" t="s">
        <v>220</v>
      </c>
      <c r="D27">
        <v>3</v>
      </c>
      <c r="E27" s="8">
        <f>IFERROR(VLOOKUP(D27, Methodology!$A$22:$B$26, 2, FALSE()), "")</f>
        <v>0.6</v>
      </c>
      <c r="F27" s="7"/>
      <c r="G27" s="7"/>
      <c r="H27" s="7"/>
    </row>
    <row r="28" spans="1:8" x14ac:dyDescent="0.2">
      <c r="A28" s="5">
        <v>26</v>
      </c>
      <c r="B28" t="s">
        <v>153</v>
      </c>
      <c r="C28" t="s">
        <v>221</v>
      </c>
      <c r="D28">
        <v>3</v>
      </c>
      <c r="E28" s="8">
        <f>IFERROR(VLOOKUP(D28, Methodology!$A$22:$B$26, 2, FALSE()), "")</f>
        <v>0.6</v>
      </c>
      <c r="F28" s="7"/>
      <c r="G28" s="7"/>
      <c r="H28" s="7"/>
    </row>
    <row r="29" spans="1:8" x14ac:dyDescent="0.2">
      <c r="A29" s="5">
        <v>27</v>
      </c>
      <c r="B29" t="s">
        <v>154</v>
      </c>
      <c r="C29" t="s">
        <v>222</v>
      </c>
      <c r="D29">
        <v>3</v>
      </c>
      <c r="E29" s="8">
        <f>IFERROR(VLOOKUP(D29, Methodology!$A$22:$B$26, 2, FALSE()), "")</f>
        <v>0.6</v>
      </c>
      <c r="F29" s="7"/>
      <c r="G29" s="7"/>
      <c r="H29" s="7"/>
    </row>
    <row r="30" spans="1:8" x14ac:dyDescent="0.2">
      <c r="A30" s="5">
        <v>28</v>
      </c>
      <c r="B30" t="s">
        <v>155</v>
      </c>
      <c r="C30" t="s">
        <v>223</v>
      </c>
      <c r="D30">
        <v>3</v>
      </c>
      <c r="E30" s="8">
        <f>IFERROR(VLOOKUP(D30, Methodology!$A$22:$B$26, 2, FALSE()), "")</f>
        <v>0.6</v>
      </c>
      <c r="F30" s="7"/>
      <c r="G30" s="7"/>
      <c r="H30" s="7"/>
    </row>
    <row r="31" spans="1:8" x14ac:dyDescent="0.2">
      <c r="A31" s="5">
        <v>29</v>
      </c>
      <c r="B31" t="s">
        <v>156</v>
      </c>
      <c r="C31" t="s">
        <v>224</v>
      </c>
      <c r="D31">
        <v>3</v>
      </c>
      <c r="E31" s="8">
        <f>IFERROR(VLOOKUP(D31, Methodology!$A$22:$B$26, 2, FALSE()), "")</f>
        <v>0.6</v>
      </c>
      <c r="F31" s="7"/>
      <c r="G31" s="7"/>
      <c r="H31" s="7"/>
    </row>
    <row r="32" spans="1:8" x14ac:dyDescent="0.2">
      <c r="A32" s="5">
        <v>30</v>
      </c>
      <c r="B32" t="s">
        <v>157</v>
      </c>
      <c r="C32" t="s">
        <v>225</v>
      </c>
      <c r="D32">
        <v>3</v>
      </c>
      <c r="E32" s="8">
        <f>IFERROR(VLOOKUP(D32, Methodology!$A$22:$B$26, 2, FALSE()), "")</f>
        <v>0.6</v>
      </c>
      <c r="F32" s="7"/>
      <c r="G32" s="7"/>
      <c r="H32" s="7"/>
    </row>
    <row r="33" spans="1:8" x14ac:dyDescent="0.2">
      <c r="A33" s="5">
        <v>31</v>
      </c>
      <c r="B33" t="s">
        <v>158</v>
      </c>
      <c r="C33" t="s">
        <v>226</v>
      </c>
      <c r="D33">
        <v>3</v>
      </c>
      <c r="E33" s="8">
        <f>IFERROR(VLOOKUP(D33, Methodology!$A$22:$B$26, 2, FALSE()), "")</f>
        <v>0.6</v>
      </c>
      <c r="F33" s="7"/>
      <c r="G33" s="7"/>
      <c r="H33" s="7"/>
    </row>
    <row r="34" spans="1:8" x14ac:dyDescent="0.2">
      <c r="A34" s="5">
        <v>32</v>
      </c>
      <c r="B34" t="s">
        <v>159</v>
      </c>
      <c r="C34" t="s">
        <v>227</v>
      </c>
      <c r="D34">
        <v>3</v>
      </c>
      <c r="E34" s="8">
        <f>IFERROR(VLOOKUP(D34, Methodology!$A$22:$B$26, 2, FALSE()), "")</f>
        <v>0.6</v>
      </c>
      <c r="F34" s="7"/>
      <c r="G34" s="7"/>
      <c r="H34" s="7"/>
    </row>
    <row r="35" spans="1:8" x14ac:dyDescent="0.2">
      <c r="A35" s="5">
        <v>33</v>
      </c>
      <c r="B35" t="s">
        <v>160</v>
      </c>
      <c r="C35" t="s">
        <v>228</v>
      </c>
      <c r="D35">
        <v>2</v>
      </c>
      <c r="E35" s="8">
        <f>IFERROR(VLOOKUP(D35, Methodology!$A$22:$B$26, 2, FALSE()), "")</f>
        <v>0.3</v>
      </c>
      <c r="F35" s="7"/>
      <c r="G35" s="7"/>
      <c r="H35" s="7"/>
    </row>
    <row r="36" spans="1:8" x14ac:dyDescent="0.2">
      <c r="A36" s="5">
        <v>34</v>
      </c>
      <c r="B36" t="s">
        <v>161</v>
      </c>
      <c r="C36" t="s">
        <v>229</v>
      </c>
      <c r="D36">
        <v>2</v>
      </c>
      <c r="E36" s="8">
        <f>IFERROR(VLOOKUP(D36, Methodology!$A$22:$B$26, 2, FALSE()), "")</f>
        <v>0.3</v>
      </c>
      <c r="F36" s="7"/>
      <c r="G36" s="7"/>
      <c r="H36" s="7"/>
    </row>
    <row r="37" spans="1:8" x14ac:dyDescent="0.2">
      <c r="A37" s="5">
        <v>35</v>
      </c>
      <c r="B37" t="s">
        <v>162</v>
      </c>
      <c r="C37" t="s">
        <v>230</v>
      </c>
      <c r="D37">
        <v>2</v>
      </c>
      <c r="E37" s="8">
        <f>IFERROR(VLOOKUP(D37, Methodology!$A$22:$B$26, 2, FALSE()), "")</f>
        <v>0.3</v>
      </c>
      <c r="F37" s="7"/>
      <c r="G37" s="7"/>
      <c r="H37" s="7"/>
    </row>
    <row r="38" spans="1:8" x14ac:dyDescent="0.2">
      <c r="A38" s="5">
        <v>36</v>
      </c>
      <c r="B38" t="s">
        <v>163</v>
      </c>
      <c r="C38" t="s">
        <v>231</v>
      </c>
      <c r="D38">
        <v>2</v>
      </c>
      <c r="E38" s="8">
        <f>IFERROR(VLOOKUP(D38, Methodology!$A$22:$B$26, 2, FALSE()), "")</f>
        <v>0.3</v>
      </c>
      <c r="F38" s="7"/>
      <c r="G38" s="7"/>
      <c r="H38" s="7"/>
    </row>
    <row r="39" spans="1:8" x14ac:dyDescent="0.2">
      <c r="A39" s="5">
        <v>37</v>
      </c>
      <c r="B39" t="s">
        <v>164</v>
      </c>
      <c r="C39" t="s">
        <v>232</v>
      </c>
      <c r="D39">
        <v>3</v>
      </c>
      <c r="E39" s="8">
        <f>IFERROR(VLOOKUP(D39, Methodology!$A$22:$B$26, 2, FALSE()), "")</f>
        <v>0.6</v>
      </c>
      <c r="F39" s="7"/>
      <c r="G39" s="7"/>
      <c r="H39" s="7"/>
    </row>
    <row r="40" spans="1:8" x14ac:dyDescent="0.2">
      <c r="A40" s="5">
        <v>38</v>
      </c>
      <c r="B40" t="s">
        <v>165</v>
      </c>
      <c r="C40" t="s">
        <v>233</v>
      </c>
      <c r="D40">
        <v>3</v>
      </c>
      <c r="E40" s="8">
        <f>IFERROR(VLOOKUP(D40, Methodology!$A$22:$B$26, 2, FALSE()), "")</f>
        <v>0.6</v>
      </c>
      <c r="F40" s="7"/>
      <c r="G40" s="7"/>
      <c r="H40" s="7"/>
    </row>
    <row r="41" spans="1:8" x14ac:dyDescent="0.2">
      <c r="A41" s="5">
        <v>39</v>
      </c>
      <c r="B41" t="s">
        <v>166</v>
      </c>
      <c r="C41" t="s">
        <v>234</v>
      </c>
      <c r="D41">
        <v>2</v>
      </c>
      <c r="E41" s="8">
        <f>IFERROR(VLOOKUP(D41, Methodology!$A$22:$B$26, 2, FALSE()), "")</f>
        <v>0.3</v>
      </c>
      <c r="F41" s="7"/>
      <c r="G41" s="7"/>
      <c r="H41" s="7"/>
    </row>
    <row r="42" spans="1:8" x14ac:dyDescent="0.2">
      <c r="A42" s="5">
        <v>40</v>
      </c>
      <c r="B42" t="s">
        <v>167</v>
      </c>
      <c r="C42" t="s">
        <v>235</v>
      </c>
      <c r="D42">
        <v>2</v>
      </c>
      <c r="E42" s="8">
        <f>IFERROR(VLOOKUP(D42, Methodology!$A$22:$B$26, 2, FALSE()), "")</f>
        <v>0.3</v>
      </c>
      <c r="F42" s="7"/>
      <c r="G42" s="7"/>
      <c r="H42" s="7"/>
    </row>
    <row r="43" spans="1:8" x14ac:dyDescent="0.2">
      <c r="A43" s="5">
        <v>41</v>
      </c>
      <c r="B43" t="s">
        <v>168</v>
      </c>
      <c r="C43" t="s">
        <v>236</v>
      </c>
      <c r="D43">
        <v>3</v>
      </c>
      <c r="E43" s="8">
        <f>IFERROR(VLOOKUP(D43, Methodology!$A$22:$B$26, 2, FALSE()), "")</f>
        <v>0.6</v>
      </c>
      <c r="F43" s="7"/>
      <c r="G43" s="7"/>
      <c r="H43" s="7"/>
    </row>
    <row r="44" spans="1:8" x14ac:dyDescent="0.2">
      <c r="A44" s="5">
        <v>42</v>
      </c>
      <c r="B44" t="s">
        <v>169</v>
      </c>
      <c r="C44" t="s">
        <v>237</v>
      </c>
      <c r="D44">
        <v>2</v>
      </c>
      <c r="E44" s="8">
        <f>IFERROR(VLOOKUP(D44, Methodology!$A$22:$B$26, 2, FALSE()), "")</f>
        <v>0.3</v>
      </c>
      <c r="F44" s="7"/>
      <c r="G44" s="7"/>
      <c r="H44" s="7"/>
    </row>
    <row r="45" spans="1:8" x14ac:dyDescent="0.2">
      <c r="A45" s="5">
        <v>43</v>
      </c>
      <c r="B45" t="s">
        <v>170</v>
      </c>
      <c r="C45" t="s">
        <v>238</v>
      </c>
      <c r="D45">
        <v>3</v>
      </c>
      <c r="E45" s="8">
        <f>IFERROR(VLOOKUP(D45, Methodology!$A$22:$B$26, 2, FALSE()), "")</f>
        <v>0.6</v>
      </c>
      <c r="F45" s="7"/>
      <c r="G45" s="7"/>
      <c r="H45" s="7"/>
    </row>
    <row r="46" spans="1:8" x14ac:dyDescent="0.2">
      <c r="A46" s="5">
        <v>44</v>
      </c>
      <c r="B46" t="s">
        <v>171</v>
      </c>
      <c r="C46" t="s">
        <v>239</v>
      </c>
      <c r="D46">
        <v>2</v>
      </c>
      <c r="E46" s="8">
        <f>IFERROR(VLOOKUP(D46, Methodology!$A$22:$B$26, 2, FALSE()), "")</f>
        <v>0.3</v>
      </c>
      <c r="F46" s="7"/>
      <c r="G46" s="7"/>
      <c r="H46" s="7"/>
    </row>
    <row r="47" spans="1:8" x14ac:dyDescent="0.2">
      <c r="A47" s="5">
        <v>45</v>
      </c>
      <c r="B47" t="s">
        <v>172</v>
      </c>
      <c r="C47" t="s">
        <v>240</v>
      </c>
      <c r="D47">
        <v>2</v>
      </c>
      <c r="E47" s="8">
        <f>IFERROR(VLOOKUP(D47, Methodology!$A$22:$B$26, 2, FALSE()), "")</f>
        <v>0.3</v>
      </c>
      <c r="F47" s="7"/>
      <c r="G47" s="7"/>
      <c r="H47" s="7"/>
    </row>
    <row r="48" spans="1:8" x14ac:dyDescent="0.2">
      <c r="A48" s="5">
        <v>46</v>
      </c>
      <c r="B48" t="s">
        <v>173</v>
      </c>
      <c r="C48" t="s">
        <v>241</v>
      </c>
      <c r="D48">
        <v>3</v>
      </c>
      <c r="E48" s="8">
        <f>IFERROR(VLOOKUP(D48, Methodology!$A$22:$B$26, 2, FALSE()), "")</f>
        <v>0.6</v>
      </c>
      <c r="F48" s="7"/>
      <c r="G48" s="7"/>
      <c r="H48" s="7"/>
    </row>
    <row r="49" spans="1:8" x14ac:dyDescent="0.2">
      <c r="A49" s="5">
        <v>47</v>
      </c>
      <c r="B49" t="s">
        <v>174</v>
      </c>
      <c r="C49" t="s">
        <v>242</v>
      </c>
      <c r="D49">
        <v>2</v>
      </c>
      <c r="E49" s="8">
        <f>IFERROR(VLOOKUP(D49, Methodology!$A$22:$B$26, 2, FALSE()), "")</f>
        <v>0.3</v>
      </c>
      <c r="F49" s="7"/>
      <c r="G49" s="7"/>
      <c r="H49" s="7"/>
    </row>
    <row r="50" spans="1:8" x14ac:dyDescent="0.2">
      <c r="A50" s="5">
        <v>48</v>
      </c>
      <c r="B50" t="s">
        <v>175</v>
      </c>
      <c r="C50" t="s">
        <v>243</v>
      </c>
      <c r="D50">
        <v>2</v>
      </c>
      <c r="E50" s="8">
        <f>IFERROR(VLOOKUP(D50, Methodology!$A$22:$B$26, 2, FALSE()), "")</f>
        <v>0.3</v>
      </c>
      <c r="F50" s="7"/>
      <c r="G50" s="7"/>
      <c r="H50" s="7"/>
    </row>
    <row r="51" spans="1:8" x14ac:dyDescent="0.2">
      <c r="A51" s="5">
        <v>49</v>
      </c>
      <c r="B51" t="s">
        <v>176</v>
      </c>
      <c r="C51" t="s">
        <v>244</v>
      </c>
      <c r="D51">
        <v>2</v>
      </c>
      <c r="E51" s="8">
        <f>IFERROR(VLOOKUP(D51, Methodology!$A$22:$B$26, 2, FALSE()), "")</f>
        <v>0.3</v>
      </c>
      <c r="F51" s="7"/>
      <c r="G51" s="7"/>
      <c r="H51" s="7"/>
    </row>
    <row r="52" spans="1:8" x14ac:dyDescent="0.2">
      <c r="A52" s="5">
        <v>50</v>
      </c>
      <c r="B52" t="s">
        <v>177</v>
      </c>
      <c r="C52" t="s">
        <v>245</v>
      </c>
      <c r="D52">
        <v>3</v>
      </c>
      <c r="E52" s="8">
        <f>IFERROR(VLOOKUP(D52, Methodology!$A$22:$B$26, 2, FALSE()), "")</f>
        <v>0.6</v>
      </c>
      <c r="F52" s="7"/>
      <c r="G52" s="7"/>
      <c r="H52" s="7"/>
    </row>
    <row r="53" spans="1:8" x14ac:dyDescent="0.2">
      <c r="A53" s="5">
        <v>51</v>
      </c>
      <c r="B53" t="s">
        <v>178</v>
      </c>
      <c r="C53" t="s">
        <v>246</v>
      </c>
      <c r="D53">
        <v>3</v>
      </c>
      <c r="E53" s="8">
        <f>IFERROR(VLOOKUP(D53, Methodology!$A$22:$B$26, 2, FALSE()), "")</f>
        <v>0.6</v>
      </c>
      <c r="F53" s="7"/>
      <c r="G53" s="7"/>
      <c r="H53" s="7"/>
    </row>
    <row r="54" spans="1:8" x14ac:dyDescent="0.2">
      <c r="A54" s="5">
        <v>52</v>
      </c>
      <c r="B54" t="s">
        <v>179</v>
      </c>
      <c r="C54" t="s">
        <v>247</v>
      </c>
      <c r="D54">
        <v>2</v>
      </c>
      <c r="E54" s="8">
        <f>IFERROR(VLOOKUP(D54, Methodology!$A$22:$B$26, 2, FALSE()), "")</f>
        <v>0.3</v>
      </c>
      <c r="F54" s="7"/>
      <c r="G54" s="7"/>
      <c r="H54" s="7"/>
    </row>
    <row r="55" spans="1:8" x14ac:dyDescent="0.2">
      <c r="A55" s="5">
        <v>53</v>
      </c>
      <c r="B55" t="s">
        <v>180</v>
      </c>
      <c r="C55" t="s">
        <v>248</v>
      </c>
      <c r="D55">
        <v>2</v>
      </c>
      <c r="E55" s="8">
        <f>IFERROR(VLOOKUP(D55, Methodology!$A$22:$B$26, 2, FALSE()), "")</f>
        <v>0.3</v>
      </c>
      <c r="F55" s="7"/>
      <c r="G55" s="7"/>
      <c r="H55" s="7"/>
    </row>
    <row r="56" spans="1:8" x14ac:dyDescent="0.2">
      <c r="A56" s="5">
        <v>54</v>
      </c>
      <c r="B56" t="s">
        <v>181</v>
      </c>
      <c r="C56" t="s">
        <v>249</v>
      </c>
      <c r="D56">
        <v>2</v>
      </c>
      <c r="E56" s="8">
        <f>IFERROR(VLOOKUP(D56, Methodology!$A$22:$B$26, 2, FALSE()), "")</f>
        <v>0.3</v>
      </c>
      <c r="F56" s="7"/>
      <c r="G56" s="7"/>
      <c r="H56" s="7"/>
    </row>
    <row r="57" spans="1:8" x14ac:dyDescent="0.2">
      <c r="A57" s="5">
        <v>55</v>
      </c>
      <c r="B57" t="s">
        <v>182</v>
      </c>
      <c r="C57" t="s">
        <v>250</v>
      </c>
      <c r="D57">
        <v>2</v>
      </c>
      <c r="E57" s="8">
        <f>IFERROR(VLOOKUP(D57, Methodology!$A$22:$B$26, 2, FALSE()), "")</f>
        <v>0.3</v>
      </c>
      <c r="F57" s="7"/>
      <c r="G57" s="7"/>
      <c r="H57" s="7"/>
    </row>
    <row r="58" spans="1:8" x14ac:dyDescent="0.2">
      <c r="A58" s="5">
        <v>56</v>
      </c>
      <c r="B58" t="s">
        <v>183</v>
      </c>
      <c r="C58" t="s">
        <v>251</v>
      </c>
      <c r="D58">
        <v>2</v>
      </c>
      <c r="E58" s="8">
        <f>IFERROR(VLOOKUP(D58, Methodology!$A$22:$B$26, 2, FALSE()), "")</f>
        <v>0.3</v>
      </c>
      <c r="F58" s="7"/>
      <c r="G58" s="7"/>
      <c r="H58" s="7"/>
    </row>
    <row r="59" spans="1:8" x14ac:dyDescent="0.2">
      <c r="A59" s="5">
        <v>57</v>
      </c>
      <c r="B59" t="s">
        <v>184</v>
      </c>
      <c r="C59" t="s">
        <v>252</v>
      </c>
      <c r="D59">
        <v>2</v>
      </c>
      <c r="E59" s="8">
        <f>IFERROR(VLOOKUP(D59, Methodology!$A$22:$B$26, 2, FALSE()), "")</f>
        <v>0.3</v>
      </c>
      <c r="F59" s="7"/>
      <c r="G59" s="7"/>
      <c r="H59" s="7"/>
    </row>
    <row r="60" spans="1:8" x14ac:dyDescent="0.2">
      <c r="A60" s="5">
        <v>58</v>
      </c>
      <c r="B60" t="s">
        <v>185</v>
      </c>
      <c r="C60" t="s">
        <v>253</v>
      </c>
      <c r="D60">
        <v>3</v>
      </c>
      <c r="E60" s="8">
        <f>IFERROR(VLOOKUP(D60, Methodology!$A$22:$B$26, 2, FALSE()), "")</f>
        <v>0.6</v>
      </c>
      <c r="F60" s="7"/>
      <c r="G60" s="7"/>
      <c r="H60" s="7"/>
    </row>
    <row r="61" spans="1:8" x14ac:dyDescent="0.2">
      <c r="A61" s="5">
        <v>59</v>
      </c>
      <c r="B61" t="s">
        <v>186</v>
      </c>
      <c r="C61" t="s">
        <v>254</v>
      </c>
      <c r="D61">
        <v>2</v>
      </c>
      <c r="E61" s="8">
        <f>IFERROR(VLOOKUP(D61, Methodology!$A$22:$B$26, 2, FALSE()), "")</f>
        <v>0.3</v>
      </c>
      <c r="F61" s="7"/>
      <c r="G61" s="7"/>
      <c r="H61" s="7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G1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14" customWidth="1"/>
    <col min="4" max="4" width="18" customWidth="1"/>
    <col min="5" max="5" width="10" customWidth="1"/>
    <col min="6" max="6" width="18" customWidth="1"/>
    <col min="7" max="7" width="28" customWidth="1"/>
  </cols>
  <sheetData>
    <row r="1" spans="1:7" ht="31.5" customHeight="1" x14ac:dyDescent="0.2">
      <c r="A1" s="18" t="s">
        <v>113</v>
      </c>
      <c r="B1" s="18"/>
      <c r="C1" s="18"/>
      <c r="D1" s="18"/>
      <c r="E1" s="18"/>
      <c r="F1" s="18"/>
      <c r="G1" s="18"/>
    </row>
    <row r="2" spans="1:7" ht="27.75" customHeight="1" x14ac:dyDescent="0.2">
      <c r="A2" s="4" t="s">
        <v>92</v>
      </c>
      <c r="B2" s="4" t="s">
        <v>93</v>
      </c>
      <c r="C2" s="4" t="s">
        <v>114</v>
      </c>
      <c r="D2" s="4" t="s">
        <v>115</v>
      </c>
      <c r="E2" s="4" t="s">
        <v>26</v>
      </c>
      <c r="F2" s="4" t="s">
        <v>116</v>
      </c>
      <c r="G2" s="4" t="s">
        <v>98</v>
      </c>
    </row>
    <row r="3" spans="1:7" x14ac:dyDescent="0.2">
      <c r="A3" s="5">
        <v>1</v>
      </c>
      <c r="B3" s="7"/>
      <c r="C3" s="7"/>
      <c r="D3" s="7"/>
      <c r="E3" s="8" t="str">
        <f>IFERROR(VLOOKUP(D3, Methodology!$A$11:$B$16, 2, FALSE()), "")</f>
        <v/>
      </c>
      <c r="F3" s="7"/>
      <c r="G3" s="7"/>
    </row>
    <row r="4" spans="1:7" x14ac:dyDescent="0.2">
      <c r="A4" s="5">
        <v>2</v>
      </c>
      <c r="B4" s="7"/>
      <c r="C4" s="7"/>
      <c r="D4" s="7"/>
      <c r="E4" s="8" t="str">
        <f>IFERROR(VLOOKUP(D4, Methodology!$A$11:$B$16, 2, FALSE()), "")</f>
        <v/>
      </c>
      <c r="F4" s="7"/>
      <c r="G4" s="7"/>
    </row>
    <row r="5" spans="1:7" x14ac:dyDescent="0.2">
      <c r="A5" s="5">
        <v>3</v>
      </c>
      <c r="B5" s="7"/>
      <c r="C5" s="7"/>
      <c r="D5" s="7"/>
      <c r="E5" s="8" t="str">
        <f>IFERROR(VLOOKUP(D5, Methodology!$A$11:$B$16, 2, FALSE()), "")</f>
        <v/>
      </c>
      <c r="F5" s="7"/>
      <c r="G5" s="7"/>
    </row>
    <row r="6" spans="1:7" x14ac:dyDescent="0.2">
      <c r="A6" s="5">
        <v>4</v>
      </c>
      <c r="B6" s="7"/>
      <c r="C6" s="7"/>
      <c r="D6" s="7"/>
      <c r="E6" s="8" t="str">
        <f>IFERROR(VLOOKUP(D6, Methodology!$A$11:$B$16, 2, FALSE()), "")</f>
        <v/>
      </c>
      <c r="F6" s="7"/>
      <c r="G6" s="7"/>
    </row>
    <row r="7" spans="1:7" x14ac:dyDescent="0.2">
      <c r="A7" s="5">
        <v>5</v>
      </c>
      <c r="B7" s="7"/>
      <c r="C7" s="7"/>
      <c r="D7" s="7"/>
      <c r="E7" s="8" t="str">
        <f>IFERROR(VLOOKUP(D7, Methodology!$A$11:$B$16, 2, FALSE()), "")</f>
        <v/>
      </c>
      <c r="F7" s="7"/>
      <c r="G7" s="7"/>
    </row>
    <row r="8" spans="1:7" x14ac:dyDescent="0.2">
      <c r="A8" s="5">
        <v>6</v>
      </c>
      <c r="B8" s="7"/>
      <c r="C8" s="7"/>
      <c r="D8" s="7"/>
      <c r="E8" s="8" t="str">
        <f>IFERROR(VLOOKUP(D8, Methodology!$A$11:$B$16, 2, FALSE()), "")</f>
        <v/>
      </c>
      <c r="F8" s="7"/>
      <c r="G8" s="7"/>
    </row>
    <row r="9" spans="1:7" x14ac:dyDescent="0.2">
      <c r="A9" s="5">
        <v>7</v>
      </c>
      <c r="B9" s="7"/>
      <c r="C9" s="7"/>
      <c r="D9" s="7"/>
      <c r="E9" s="8" t="str">
        <f>IFERROR(VLOOKUP(D9, Methodology!$A$11:$B$16, 2, FALSE()), "")</f>
        <v/>
      </c>
      <c r="F9" s="7"/>
      <c r="G9" s="7"/>
    </row>
    <row r="10" spans="1:7" x14ac:dyDescent="0.2">
      <c r="A10" s="5">
        <v>8</v>
      </c>
      <c r="B10" s="7"/>
      <c r="C10" s="7"/>
      <c r="D10" s="7"/>
      <c r="E10" s="8" t="str">
        <f>IFERROR(VLOOKUP(D10, Methodology!$A$11:$B$16, 2, FALSE()), "")</f>
        <v/>
      </c>
      <c r="F10" s="7"/>
      <c r="G10" s="7"/>
    </row>
    <row r="11" spans="1:7" x14ac:dyDescent="0.2">
      <c r="A11" s="5">
        <v>9</v>
      </c>
      <c r="B11" s="7"/>
      <c r="C11" s="7"/>
      <c r="D11" s="7"/>
      <c r="E11" s="8" t="str">
        <f>IFERROR(VLOOKUP(D11, Methodology!$A$11:$B$16, 2, FALSE()), "")</f>
        <v/>
      </c>
      <c r="F11" s="7"/>
      <c r="G11" s="7"/>
    </row>
    <row r="12" spans="1:7" x14ac:dyDescent="0.2">
      <c r="A12" s="5">
        <v>10</v>
      </c>
      <c r="B12" s="7"/>
      <c r="C12" s="7"/>
      <c r="D12" s="7"/>
      <c r="E12" s="8" t="str">
        <f>IFERROR(VLOOKUP(D12, Methodology!$A$11:$B$16, 2, FALSE()), "")</f>
        <v/>
      </c>
      <c r="F12" s="7"/>
      <c r="G12" s="7"/>
    </row>
    <row r="13" spans="1:7" x14ac:dyDescent="0.2">
      <c r="A13" s="5">
        <v>11</v>
      </c>
      <c r="B13" s="7"/>
      <c r="C13" s="7"/>
      <c r="D13" s="7"/>
      <c r="E13" s="8" t="str">
        <f>IFERROR(VLOOKUP(D13, Methodology!$A$11:$B$16, 2, FALSE()), "")</f>
        <v/>
      </c>
      <c r="F13" s="7"/>
      <c r="G13" s="7"/>
    </row>
    <row r="14" spans="1:7" x14ac:dyDescent="0.2">
      <c r="A14" s="5">
        <v>12</v>
      </c>
      <c r="B14" s="7"/>
      <c r="C14" s="7"/>
      <c r="D14" s="7"/>
      <c r="E14" s="8" t="str">
        <f>IFERROR(VLOOKUP(D14, Methodology!$A$11:$B$16, 2, FALSE()), "")</f>
        <v/>
      </c>
      <c r="F14" s="7"/>
      <c r="G14" s="7"/>
    </row>
    <row r="15" spans="1:7" x14ac:dyDescent="0.2">
      <c r="A15" s="5">
        <v>13</v>
      </c>
      <c r="B15" s="7"/>
      <c r="C15" s="7"/>
      <c r="D15" s="7"/>
      <c r="E15" s="8" t="str">
        <f>IFERROR(VLOOKUP(D15, Methodology!$A$11:$B$16, 2, FALSE()), "")</f>
        <v/>
      </c>
      <c r="F15" s="7"/>
      <c r="G15" s="7"/>
    </row>
    <row r="16" spans="1:7" x14ac:dyDescent="0.2">
      <c r="A16" s="5">
        <v>14</v>
      </c>
      <c r="B16" s="7"/>
      <c r="C16" s="7"/>
      <c r="D16" s="7"/>
      <c r="E16" s="8" t="str">
        <f>IFERROR(VLOOKUP(D16, Methodology!$A$11:$B$16, 2, FALSE()), "")</f>
        <v/>
      </c>
      <c r="F16" s="7"/>
      <c r="G16" s="7"/>
    </row>
    <row r="17" spans="1:7" x14ac:dyDescent="0.2">
      <c r="A17" s="5">
        <v>15</v>
      </c>
      <c r="B17" s="7"/>
      <c r="C17" s="7"/>
      <c r="D17" s="7"/>
      <c r="E17" s="8" t="str">
        <f>IFERROR(VLOOKUP(D17, Methodology!$A$11:$B$16, 2, FALSE()), "")</f>
        <v/>
      </c>
      <c r="F17" s="7"/>
      <c r="G17" s="7"/>
    </row>
    <row r="18" spans="1:7" x14ac:dyDescent="0.2">
      <c r="A18" s="5">
        <v>16</v>
      </c>
      <c r="B18" s="7"/>
      <c r="C18" s="7"/>
      <c r="D18" s="7"/>
      <c r="E18" s="8" t="str">
        <f>IFERROR(VLOOKUP(D18, Methodology!$A$11:$B$16, 2, FALSE()), "")</f>
        <v/>
      </c>
      <c r="F18" s="7"/>
      <c r="G18" s="7"/>
    </row>
    <row r="19" spans="1:7" x14ac:dyDescent="0.2">
      <c r="A19" s="5">
        <v>17</v>
      </c>
      <c r="B19" s="7"/>
      <c r="C19" s="7"/>
      <c r="D19" s="7"/>
      <c r="E19" s="8" t="str">
        <f>IFERROR(VLOOKUP(D19, Methodology!$A$11:$B$16, 2, FALSE()), "")</f>
        <v/>
      </c>
      <c r="F19" s="7"/>
      <c r="G19" s="7"/>
    </row>
    <row r="20" spans="1:7" x14ac:dyDescent="0.2">
      <c r="A20" s="5">
        <v>18</v>
      </c>
      <c r="B20" s="7"/>
      <c r="C20" s="7"/>
      <c r="D20" s="7"/>
      <c r="E20" s="8" t="str">
        <f>IFERROR(VLOOKUP(D20, Methodology!$A$11:$B$16, 2, FALSE()), "")</f>
        <v/>
      </c>
      <c r="F20" s="7"/>
      <c r="G20" s="7"/>
    </row>
    <row r="21" spans="1:7" x14ac:dyDescent="0.2">
      <c r="A21" s="5">
        <v>19</v>
      </c>
      <c r="B21" s="7"/>
      <c r="C21" s="7"/>
      <c r="D21" s="7"/>
      <c r="E21" s="8" t="str">
        <f>IFERROR(VLOOKUP(D21, Methodology!$A$11:$B$16, 2, FALSE()), "")</f>
        <v/>
      </c>
      <c r="F21" s="7"/>
      <c r="G21" s="7"/>
    </row>
    <row r="22" spans="1:7" x14ac:dyDescent="0.2">
      <c r="A22" s="5">
        <v>20</v>
      </c>
      <c r="B22" s="7"/>
      <c r="C22" s="7"/>
      <c r="D22" s="7"/>
      <c r="E22" s="8" t="str">
        <f>IFERROR(VLOOKUP(D22, Methodology!$A$11:$B$16, 2, FALSE()), "")</f>
        <v/>
      </c>
      <c r="F22" s="7"/>
      <c r="G22" s="7"/>
    </row>
    <row r="23" spans="1:7" x14ac:dyDescent="0.2">
      <c r="A23" s="5">
        <v>21</v>
      </c>
      <c r="B23" s="7"/>
      <c r="C23" s="7"/>
      <c r="D23" s="7"/>
      <c r="E23" s="8" t="str">
        <f>IFERROR(VLOOKUP(D23, Methodology!$A$11:$B$16, 2, FALSE()), "")</f>
        <v/>
      </c>
      <c r="F23" s="7"/>
      <c r="G23" s="7"/>
    </row>
    <row r="24" spans="1:7" x14ac:dyDescent="0.2">
      <c r="A24" s="5">
        <v>22</v>
      </c>
      <c r="B24" s="7"/>
      <c r="C24" s="7"/>
      <c r="D24" s="7"/>
      <c r="E24" s="8" t="str">
        <f>IFERROR(VLOOKUP(D24, Methodology!$A$11:$B$16, 2, FALSE()), "")</f>
        <v/>
      </c>
      <c r="F24" s="7"/>
      <c r="G24" s="7"/>
    </row>
    <row r="25" spans="1:7" x14ac:dyDescent="0.2">
      <c r="A25" s="5">
        <v>23</v>
      </c>
      <c r="B25" s="7"/>
      <c r="C25" s="7"/>
      <c r="D25" s="7"/>
      <c r="E25" s="8" t="str">
        <f>IFERROR(VLOOKUP(D25, Methodology!$A$11:$B$16, 2, FALSE()), "")</f>
        <v/>
      </c>
      <c r="F25" s="7"/>
      <c r="G25" s="7"/>
    </row>
    <row r="26" spans="1:7" x14ac:dyDescent="0.2">
      <c r="A26" s="5">
        <v>24</v>
      </c>
      <c r="B26" s="7"/>
      <c r="C26" s="7"/>
      <c r="D26" s="7"/>
      <c r="E26" s="8" t="str">
        <f>IFERROR(VLOOKUP(D26, Methodology!$A$11:$B$16, 2, FALSE()), "")</f>
        <v/>
      </c>
      <c r="F26" s="7"/>
      <c r="G26" s="7"/>
    </row>
    <row r="27" spans="1:7" x14ac:dyDescent="0.2">
      <c r="A27" s="5">
        <v>25</v>
      </c>
      <c r="B27" s="7"/>
      <c r="C27" s="7"/>
      <c r="D27" s="7"/>
      <c r="E27" s="8" t="str">
        <f>IFERROR(VLOOKUP(D27, Methodology!$A$11:$B$16, 2, FALSE()), "")</f>
        <v/>
      </c>
      <c r="F27" s="7"/>
      <c r="G27" s="7"/>
    </row>
    <row r="28" spans="1:7" x14ac:dyDescent="0.2">
      <c r="A28" s="5">
        <v>26</v>
      </c>
      <c r="B28" s="7"/>
      <c r="C28" s="7"/>
      <c r="D28" s="7"/>
      <c r="E28" s="8" t="str">
        <f>IFERROR(VLOOKUP(D28, Methodology!$A$11:$B$16, 2, FALSE()), "")</f>
        <v/>
      </c>
      <c r="F28" s="7"/>
      <c r="G28" s="7"/>
    </row>
    <row r="29" spans="1:7" x14ac:dyDescent="0.2">
      <c r="A29" s="5">
        <v>27</v>
      </c>
      <c r="B29" s="7"/>
      <c r="C29" s="7"/>
      <c r="D29" s="7"/>
      <c r="E29" s="8" t="str">
        <f>IFERROR(VLOOKUP(D29, Methodology!$A$11:$B$16, 2, FALSE()), "")</f>
        <v/>
      </c>
      <c r="F29" s="7"/>
      <c r="G29" s="7"/>
    </row>
    <row r="30" spans="1:7" x14ac:dyDescent="0.2">
      <c r="A30" s="5">
        <v>28</v>
      </c>
      <c r="B30" s="7"/>
      <c r="C30" s="7"/>
      <c r="D30" s="7"/>
      <c r="E30" s="8" t="str">
        <f>IFERROR(VLOOKUP(D30, Methodology!$A$11:$B$16, 2, FALSE()), "")</f>
        <v/>
      </c>
      <c r="F30" s="7"/>
      <c r="G30" s="7"/>
    </row>
    <row r="31" spans="1:7" x14ac:dyDescent="0.2">
      <c r="A31" s="5">
        <v>29</v>
      </c>
      <c r="B31" s="7"/>
      <c r="C31" s="7"/>
      <c r="D31" s="7"/>
      <c r="E31" s="8" t="str">
        <f>IFERROR(VLOOKUP(D31, Methodology!$A$11:$B$16, 2, FALSE()), "")</f>
        <v/>
      </c>
      <c r="F31" s="7"/>
      <c r="G31" s="7"/>
    </row>
    <row r="32" spans="1:7" x14ac:dyDescent="0.2">
      <c r="A32" s="5">
        <v>30</v>
      </c>
      <c r="B32" s="7"/>
      <c r="C32" s="7"/>
      <c r="D32" s="7"/>
      <c r="E32" s="8" t="str">
        <f>IFERROR(VLOOKUP(D32, Methodology!$A$11:$B$16, 2, FALSE()), "")</f>
        <v/>
      </c>
      <c r="F32" s="7"/>
      <c r="G32" s="7"/>
    </row>
    <row r="33" spans="1:7" x14ac:dyDescent="0.2">
      <c r="A33" s="5">
        <v>31</v>
      </c>
      <c r="B33" s="7"/>
      <c r="C33" s="7"/>
      <c r="D33" s="7"/>
      <c r="E33" s="8" t="str">
        <f>IFERROR(VLOOKUP(D33, Methodology!$A$11:$B$16, 2, FALSE()), "")</f>
        <v/>
      </c>
      <c r="F33" s="7"/>
      <c r="G33" s="7"/>
    </row>
    <row r="34" spans="1:7" x14ac:dyDescent="0.2">
      <c r="A34" s="5">
        <v>32</v>
      </c>
      <c r="B34" s="7"/>
      <c r="C34" s="7"/>
      <c r="D34" s="7"/>
      <c r="E34" s="8" t="str">
        <f>IFERROR(VLOOKUP(D34, Methodology!$A$11:$B$16, 2, FALSE()), "")</f>
        <v/>
      </c>
      <c r="F34" s="7"/>
      <c r="G34" s="7"/>
    </row>
    <row r="35" spans="1:7" x14ac:dyDescent="0.2">
      <c r="A35" s="5">
        <v>33</v>
      </c>
      <c r="B35" s="7"/>
      <c r="C35" s="7"/>
      <c r="D35" s="7"/>
      <c r="E35" s="8" t="str">
        <f>IFERROR(VLOOKUP(D35, Methodology!$A$11:$B$16, 2, FALSE()), "")</f>
        <v/>
      </c>
      <c r="F35" s="7"/>
      <c r="G35" s="7"/>
    </row>
    <row r="36" spans="1:7" x14ac:dyDescent="0.2">
      <c r="A36" s="5">
        <v>34</v>
      </c>
      <c r="B36" s="7"/>
      <c r="C36" s="7"/>
      <c r="D36" s="7"/>
      <c r="E36" s="8" t="str">
        <f>IFERROR(VLOOKUP(D36, Methodology!$A$11:$B$16, 2, FALSE()), "")</f>
        <v/>
      </c>
      <c r="F36" s="7"/>
      <c r="G36" s="7"/>
    </row>
    <row r="37" spans="1:7" x14ac:dyDescent="0.2">
      <c r="A37" s="5">
        <v>35</v>
      </c>
      <c r="B37" s="7"/>
      <c r="C37" s="7"/>
      <c r="D37" s="7"/>
      <c r="E37" s="8" t="str">
        <f>IFERROR(VLOOKUP(D37, Methodology!$A$11:$B$16, 2, FALSE()), "")</f>
        <v/>
      </c>
      <c r="F37" s="7"/>
      <c r="G37" s="7"/>
    </row>
    <row r="38" spans="1:7" x14ac:dyDescent="0.2">
      <c r="A38" s="5">
        <v>36</v>
      </c>
      <c r="B38" s="7"/>
      <c r="C38" s="7"/>
      <c r="D38" s="7"/>
      <c r="E38" s="8" t="str">
        <f>IFERROR(VLOOKUP(D38, Methodology!$A$11:$B$16, 2, FALSE()), "")</f>
        <v/>
      </c>
      <c r="F38" s="7"/>
      <c r="G38" s="7"/>
    </row>
    <row r="39" spans="1:7" x14ac:dyDescent="0.2">
      <c r="A39" s="5">
        <v>37</v>
      </c>
      <c r="B39" s="7"/>
      <c r="C39" s="7"/>
      <c r="D39" s="7"/>
      <c r="E39" s="8" t="str">
        <f>IFERROR(VLOOKUP(D39, Methodology!$A$11:$B$16, 2, FALSE()), "")</f>
        <v/>
      </c>
      <c r="F39" s="7"/>
      <c r="G39" s="7"/>
    </row>
    <row r="40" spans="1:7" x14ac:dyDescent="0.2">
      <c r="A40" s="5">
        <v>38</v>
      </c>
      <c r="B40" s="7"/>
      <c r="C40" s="7"/>
      <c r="D40" s="7"/>
      <c r="E40" s="8" t="str">
        <f>IFERROR(VLOOKUP(D40, Methodology!$A$11:$B$16, 2, FALSE()), "")</f>
        <v/>
      </c>
      <c r="F40" s="7"/>
      <c r="G40" s="7"/>
    </row>
    <row r="41" spans="1:7" x14ac:dyDescent="0.2">
      <c r="A41" s="5">
        <v>39</v>
      </c>
      <c r="B41" s="7"/>
      <c r="C41" s="7"/>
      <c r="D41" s="7"/>
      <c r="E41" s="8" t="str">
        <f>IFERROR(VLOOKUP(D41, Methodology!$A$11:$B$16, 2, FALSE()), "")</f>
        <v/>
      </c>
      <c r="F41" s="7"/>
      <c r="G41" s="7"/>
    </row>
    <row r="42" spans="1:7" x14ac:dyDescent="0.2">
      <c r="A42" s="5">
        <v>40</v>
      </c>
      <c r="B42" s="7"/>
      <c r="C42" s="7"/>
      <c r="D42" s="7"/>
      <c r="E42" s="8" t="str">
        <f>IFERROR(VLOOKUP(D42, Methodology!$A$11:$B$16, 2, FALSE()), "")</f>
        <v/>
      </c>
      <c r="F42" s="7"/>
      <c r="G42" s="7"/>
    </row>
    <row r="43" spans="1:7" x14ac:dyDescent="0.2">
      <c r="A43" s="5">
        <v>41</v>
      </c>
      <c r="B43" s="7"/>
      <c r="C43" s="7"/>
      <c r="D43" s="7"/>
      <c r="E43" s="8" t="str">
        <f>IFERROR(VLOOKUP(D43, Methodology!$A$11:$B$16, 2, FALSE()), "")</f>
        <v/>
      </c>
      <c r="F43" s="7"/>
      <c r="G43" s="7"/>
    </row>
    <row r="44" spans="1:7" x14ac:dyDescent="0.2">
      <c r="A44" s="5">
        <v>42</v>
      </c>
      <c r="B44" s="7"/>
      <c r="C44" s="7"/>
      <c r="D44" s="7"/>
      <c r="E44" s="8" t="str">
        <f>IFERROR(VLOOKUP(D44, Methodology!$A$11:$B$16, 2, FALSE()), "")</f>
        <v/>
      </c>
      <c r="F44" s="7"/>
      <c r="G44" s="7"/>
    </row>
    <row r="45" spans="1:7" x14ac:dyDescent="0.2">
      <c r="A45" s="5">
        <v>43</v>
      </c>
      <c r="B45" s="7"/>
      <c r="C45" s="7"/>
      <c r="D45" s="7"/>
      <c r="E45" s="8" t="str">
        <f>IFERROR(VLOOKUP(D45, Methodology!$A$11:$B$16, 2, FALSE()), "")</f>
        <v/>
      </c>
      <c r="F45" s="7"/>
      <c r="G45" s="7"/>
    </row>
    <row r="46" spans="1:7" x14ac:dyDescent="0.2">
      <c r="A46" s="5">
        <v>44</v>
      </c>
      <c r="B46" s="7"/>
      <c r="C46" s="7"/>
      <c r="D46" s="7"/>
      <c r="E46" s="8" t="str">
        <f>IFERROR(VLOOKUP(D46, Methodology!$A$11:$B$16, 2, FALSE()), "")</f>
        <v/>
      </c>
      <c r="F46" s="7"/>
      <c r="G46" s="7"/>
    </row>
    <row r="47" spans="1:7" x14ac:dyDescent="0.2">
      <c r="A47" s="5">
        <v>45</v>
      </c>
      <c r="B47" s="7"/>
      <c r="C47" s="7"/>
      <c r="D47" s="7"/>
      <c r="E47" s="8" t="str">
        <f>IFERROR(VLOOKUP(D47, Methodology!$A$11:$B$16, 2, FALSE()), "")</f>
        <v/>
      </c>
      <c r="F47" s="7"/>
      <c r="G47" s="7"/>
    </row>
    <row r="48" spans="1:7" x14ac:dyDescent="0.2">
      <c r="A48" s="5">
        <v>46</v>
      </c>
      <c r="B48" s="7"/>
      <c r="C48" s="7"/>
      <c r="D48" s="7"/>
      <c r="E48" s="8" t="str">
        <f>IFERROR(VLOOKUP(D48, Methodology!$A$11:$B$16, 2, FALSE()), "")</f>
        <v/>
      </c>
      <c r="F48" s="7"/>
      <c r="G48" s="7"/>
    </row>
    <row r="49" spans="1:7" x14ac:dyDescent="0.2">
      <c r="A49" s="5">
        <v>47</v>
      </c>
      <c r="B49" s="7"/>
      <c r="C49" s="7"/>
      <c r="D49" s="7"/>
      <c r="E49" s="8" t="str">
        <f>IFERROR(VLOOKUP(D49, Methodology!$A$11:$B$16, 2, FALSE()), "")</f>
        <v/>
      </c>
      <c r="F49" s="7"/>
      <c r="G49" s="7"/>
    </row>
    <row r="50" spans="1:7" x14ac:dyDescent="0.2">
      <c r="A50" s="5">
        <v>48</v>
      </c>
      <c r="B50" s="7"/>
      <c r="C50" s="7"/>
      <c r="D50" s="7"/>
      <c r="E50" s="8" t="str">
        <f>IFERROR(VLOOKUP(D50, Methodology!$A$11:$B$16, 2, FALSE()), "")</f>
        <v/>
      </c>
      <c r="F50" s="7"/>
      <c r="G50" s="7"/>
    </row>
    <row r="51" spans="1:7" x14ac:dyDescent="0.2">
      <c r="A51" s="5">
        <v>49</v>
      </c>
      <c r="B51" s="7"/>
      <c r="C51" s="7"/>
      <c r="D51" s="7"/>
      <c r="E51" s="8" t="str">
        <f>IFERROR(VLOOKUP(D51, Methodology!$A$11:$B$16, 2, FALSE()), "")</f>
        <v/>
      </c>
      <c r="F51" s="7"/>
      <c r="G51" s="7"/>
    </row>
    <row r="52" spans="1:7" x14ac:dyDescent="0.2">
      <c r="A52" s="5">
        <v>50</v>
      </c>
      <c r="B52" s="7"/>
      <c r="C52" s="7"/>
      <c r="D52" s="7"/>
      <c r="E52" s="8" t="str">
        <f>IFERROR(VLOOKUP(D52, Methodology!$A$11:$B$16, 2, FALSE()), "")</f>
        <v/>
      </c>
      <c r="F52" s="7"/>
      <c r="G52" s="7"/>
    </row>
    <row r="53" spans="1:7" x14ac:dyDescent="0.2">
      <c r="A53" s="5">
        <v>51</v>
      </c>
      <c r="B53" s="7"/>
      <c r="C53" s="7"/>
      <c r="D53" s="7"/>
      <c r="E53" s="8" t="str">
        <f>IFERROR(VLOOKUP(D53, Methodology!$A$11:$B$16, 2, FALSE()), "")</f>
        <v/>
      </c>
      <c r="F53" s="7"/>
      <c r="G53" s="7"/>
    </row>
    <row r="54" spans="1:7" x14ac:dyDescent="0.2">
      <c r="A54" s="5">
        <v>52</v>
      </c>
      <c r="B54" s="7"/>
      <c r="C54" s="7"/>
      <c r="D54" s="7"/>
      <c r="E54" s="8" t="str">
        <f>IFERROR(VLOOKUP(D54, Methodology!$A$11:$B$16, 2, FALSE()), "")</f>
        <v/>
      </c>
      <c r="F54" s="7"/>
      <c r="G54" s="7"/>
    </row>
    <row r="55" spans="1:7" x14ac:dyDescent="0.2">
      <c r="A55" s="5">
        <v>53</v>
      </c>
      <c r="B55" s="7"/>
      <c r="C55" s="7"/>
      <c r="D55" s="7"/>
      <c r="E55" s="8" t="str">
        <f>IFERROR(VLOOKUP(D55, Methodology!$A$11:$B$16, 2, FALSE()), "")</f>
        <v/>
      </c>
      <c r="F55" s="7"/>
      <c r="G55" s="7"/>
    </row>
    <row r="56" spans="1:7" x14ac:dyDescent="0.2">
      <c r="A56" s="5">
        <v>54</v>
      </c>
      <c r="B56" s="7"/>
      <c r="C56" s="7"/>
      <c r="D56" s="7"/>
      <c r="E56" s="8" t="str">
        <f>IFERROR(VLOOKUP(D56, Methodology!$A$11:$B$16, 2, FALSE()), "")</f>
        <v/>
      </c>
      <c r="F56" s="7"/>
      <c r="G56" s="7"/>
    </row>
    <row r="57" spans="1:7" x14ac:dyDescent="0.2">
      <c r="A57" s="5">
        <v>55</v>
      </c>
      <c r="B57" s="7"/>
      <c r="C57" s="7"/>
      <c r="D57" s="7"/>
      <c r="E57" s="8" t="str">
        <f>IFERROR(VLOOKUP(D57, Methodology!$A$11:$B$16, 2, FALSE()), "")</f>
        <v/>
      </c>
      <c r="F57" s="7"/>
      <c r="G57" s="7"/>
    </row>
    <row r="58" spans="1:7" x14ac:dyDescent="0.2">
      <c r="A58" s="5">
        <v>56</v>
      </c>
      <c r="B58" s="7"/>
      <c r="C58" s="7"/>
      <c r="D58" s="7"/>
      <c r="E58" s="8" t="str">
        <f>IFERROR(VLOOKUP(D58, Methodology!$A$11:$B$16, 2, FALSE()), "")</f>
        <v/>
      </c>
      <c r="F58" s="7"/>
      <c r="G58" s="7"/>
    </row>
    <row r="59" spans="1:7" x14ac:dyDescent="0.2">
      <c r="A59" s="5">
        <v>57</v>
      </c>
      <c r="B59" s="7"/>
      <c r="C59" s="7"/>
      <c r="D59" s="7"/>
      <c r="E59" s="8" t="str">
        <f>IFERROR(VLOOKUP(D59, Methodology!$A$11:$B$16, 2, FALSE()), "")</f>
        <v/>
      </c>
      <c r="F59" s="7"/>
      <c r="G59" s="7"/>
    </row>
    <row r="60" spans="1:7" x14ac:dyDescent="0.2">
      <c r="A60" s="5">
        <v>58</v>
      </c>
      <c r="B60" s="7"/>
      <c r="C60" s="7"/>
      <c r="D60" s="7"/>
      <c r="E60" s="8" t="str">
        <f>IFERROR(VLOOKUP(D60, Methodology!$A$11:$B$16, 2, FALSE()), "")</f>
        <v/>
      </c>
      <c r="F60" s="7"/>
      <c r="G60" s="7"/>
    </row>
    <row r="61" spans="1:7" x14ac:dyDescent="0.2">
      <c r="A61" s="5">
        <v>59</v>
      </c>
      <c r="B61" s="7"/>
      <c r="C61" s="7"/>
      <c r="D61" s="7"/>
      <c r="E61" s="8" t="str">
        <f>IFERROR(VLOOKUP(D61, Methodology!$A$11:$B$16, 2, FALSE()), "")</f>
        <v/>
      </c>
      <c r="F61" s="7"/>
      <c r="G61" s="7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1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6" sqref="D6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12" customWidth="1"/>
    <col min="4" max="5" width="14" customWidth="1"/>
    <col min="6" max="6" width="12" customWidth="1"/>
    <col min="7" max="7" width="16" customWidth="1"/>
    <col min="8" max="8" width="12" customWidth="1"/>
    <col min="9" max="9" width="14" customWidth="1"/>
    <col min="10" max="10" width="12" customWidth="1"/>
    <col min="11" max="11" width="14" customWidth="1"/>
  </cols>
  <sheetData>
    <row r="1" spans="1:11" ht="31.5" customHeight="1" x14ac:dyDescent="0.2">
      <c r="A1" s="18" t="s">
        <v>117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7.75" customHeight="1" x14ac:dyDescent="0.2">
      <c r="A2" s="4" t="s">
        <v>92</v>
      </c>
      <c r="B2" s="4" t="s">
        <v>93</v>
      </c>
      <c r="C2" s="4" t="s">
        <v>118</v>
      </c>
      <c r="D2" s="4" t="s">
        <v>119</v>
      </c>
      <c r="E2" s="4" t="s">
        <v>120</v>
      </c>
      <c r="F2" s="4" t="s">
        <v>121</v>
      </c>
      <c r="G2" s="4" t="s">
        <v>122</v>
      </c>
      <c r="H2" s="4" t="s">
        <v>123</v>
      </c>
      <c r="I2" s="4" t="s">
        <v>124</v>
      </c>
      <c r="J2" s="4" t="s">
        <v>125</v>
      </c>
      <c r="K2" s="4" t="s">
        <v>126</v>
      </c>
    </row>
    <row r="3" spans="1:11" x14ac:dyDescent="0.2">
      <c r="A3" s="5">
        <v>1</v>
      </c>
      <c r="B3" t="s">
        <v>128</v>
      </c>
      <c r="C3" s="9" t="str">
        <f>IFERROR(INDEX(Hazard_current_cycle!$E$3:$E$61, MATCH(B3, Hazard_current_cycle!$B$3:$B$61, 0)), "")</f>
        <v/>
      </c>
      <c r="D3" s="9">
        <f>IFERROR(INDEX(Exposure_LandUse!$E$3:$E$61, MATCH(B3, Exposure_LandUse!$B$3:$B$61, 0)), "")</f>
        <v>6.8990692122655434E-2</v>
      </c>
      <c r="E3" s="9">
        <f>IFERROR(INDEX(Exposure_Population!$E$3:$E$61, MATCH(B3, Exposure_Population!$B$3:$B$61, 0)), "")</f>
        <v>0.18343748296072396</v>
      </c>
      <c r="F3" s="9" t="str">
        <f>IFERROR(INDEX(Exposure_Cattle!$D$3:$D$61, MATCH(B3, Exposure_Cattle!$B$3:$B$61, 0)), "")</f>
        <v/>
      </c>
      <c r="G3" s="9" t="str">
        <f>IFERROR(INDEX(Exposure_WaterDemand!$D$3:$D$61, MATCH(B3, Exposure_WaterDemand!$B$3:$B$61, 0)), "")</f>
        <v/>
      </c>
      <c r="H3" s="10">
        <f t="shared" ref="H3:H34" si="0">IFERROR(AVERAGE(D3:G3), "")</f>
        <v>0.1262140875416897</v>
      </c>
      <c r="I3" s="10">
        <f>IFERROR(INDEX(Vulnerability_IPC!$E$3:$E$61, MATCH(B3, Vulnerability_IPC!$B$3:$B$61, 0)), "")</f>
        <v>0.3</v>
      </c>
      <c r="J3" s="10" t="str">
        <f t="shared" ref="J3:J34" si="1">IFERROR(C3*H3*I3, "")</f>
        <v/>
      </c>
      <c r="K3" s="8" t="str">
        <f t="shared" ref="K3:K34" si="2">IF(OR(J3="",NOT(ISNUMBER(J3))),"",IF(J3&gt;=0.5,"Very High",IF(J3&gt;=0.3,"High",IF(J3&gt;=0.15,"Moderate","Low"))))</f>
        <v/>
      </c>
    </row>
    <row r="4" spans="1:11" x14ac:dyDescent="0.2">
      <c r="A4" s="5">
        <v>2</v>
      </c>
      <c r="B4" t="s">
        <v>129</v>
      </c>
      <c r="C4" s="9" t="str">
        <f>IFERROR(INDEX(Hazard_current_cycle!$E$3:$E$61, MATCH(B4, Hazard_current_cycle!$B$3:$B$61, 0)), "")</f>
        <v/>
      </c>
      <c r="D4" s="9">
        <f>IFERROR(INDEX(Exposure_LandUse!$E$3:$E$61, MATCH(B4, Exposure_LandUse!$B$3:$B$61, 0)), "")</f>
        <v>0.21340275121636629</v>
      </c>
      <c r="E4" s="9">
        <f>IFERROR(INDEX(Exposure_Population!$E$3:$E$61, MATCH(B4, Exposure_Population!$B$3:$B$61, 0)), "")</f>
        <v>0.92429769877907131</v>
      </c>
      <c r="F4" s="9" t="str">
        <f>IFERROR(INDEX(Exposure_Cattle!$D$3:$D$61, MATCH(B4, Exposure_Cattle!$B$3:$B$61, 0)), "")</f>
        <v/>
      </c>
      <c r="G4" s="9" t="str">
        <f>IFERROR(INDEX(Exposure_WaterDemand!$D$3:$D$61, MATCH(B4, Exposure_WaterDemand!$B$3:$B$61, 0)), "")</f>
        <v/>
      </c>
      <c r="H4" s="10">
        <f t="shared" si="0"/>
        <v>0.56885022499771876</v>
      </c>
      <c r="I4" s="10">
        <f>IFERROR(INDEX(Vulnerability_IPC!$E$3:$E$61, MATCH(B4, Vulnerability_IPC!$B$3:$B$61, 0)), "")</f>
        <v>0.3</v>
      </c>
      <c r="J4" s="10" t="str">
        <f t="shared" si="1"/>
        <v/>
      </c>
      <c r="K4" s="8" t="str">
        <f t="shared" si="2"/>
        <v/>
      </c>
    </row>
    <row r="5" spans="1:11" x14ac:dyDescent="0.2">
      <c r="A5" s="5">
        <v>3</v>
      </c>
      <c r="B5" t="s">
        <v>130</v>
      </c>
      <c r="C5" s="9" t="str">
        <f>IFERROR(INDEX(Hazard_current_cycle!$E$3:$E$61, MATCH(B5, Hazard_current_cycle!$B$3:$B$61, 0)), "")</f>
        <v/>
      </c>
      <c r="D5" s="9">
        <f>IFERROR(INDEX(Exposure_LandUse!$E$3:$E$61, MATCH(B5, Exposure_LandUse!$B$3:$B$61, 0)), "")</f>
        <v>0.15558238672872757</v>
      </c>
      <c r="E5" s="9">
        <f>IFERROR(INDEX(Exposure_Population!$E$3:$E$61, MATCH(B5, Exposure_Population!$B$3:$B$61, 0)), "")</f>
        <v>0.82243325292908609</v>
      </c>
      <c r="F5" s="9" t="str">
        <f>IFERROR(INDEX(Exposure_Cattle!$D$3:$D$61, MATCH(B5, Exposure_Cattle!$B$3:$B$61, 0)), "")</f>
        <v/>
      </c>
      <c r="G5" s="9" t="str">
        <f>IFERROR(INDEX(Exposure_WaterDemand!$D$3:$D$61, MATCH(B5, Exposure_WaterDemand!$B$3:$B$61, 0)), "")</f>
        <v/>
      </c>
      <c r="H5" s="10">
        <f t="shared" si="0"/>
        <v>0.48900781982890684</v>
      </c>
      <c r="I5" s="10">
        <f>IFERROR(INDEX(Vulnerability_IPC!$E$3:$E$61, MATCH(B5, Vulnerability_IPC!$B$3:$B$61, 0)), "")</f>
        <v>0.6</v>
      </c>
      <c r="J5" s="10" t="str">
        <f t="shared" si="1"/>
        <v/>
      </c>
      <c r="K5" s="8" t="str">
        <f t="shared" si="2"/>
        <v/>
      </c>
    </row>
    <row r="6" spans="1:11" x14ac:dyDescent="0.2">
      <c r="A6" s="5">
        <v>4</v>
      </c>
      <c r="B6" t="s">
        <v>131</v>
      </c>
      <c r="C6" s="9" t="str">
        <f>IFERROR(INDEX(Hazard_current_cycle!$E$3:$E$61, MATCH(B6, Hazard_current_cycle!$B$3:$B$61, 0)), "")</f>
        <v/>
      </c>
      <c r="D6" s="9">
        <f>IFERROR(INDEX(Exposure_LandUse!$E$3:$E$61, MATCH(B6, Exposure_LandUse!$B$3:$B$61, 0)), "")</f>
        <v>0.13971104398210615</v>
      </c>
      <c r="E6" s="9">
        <f>IFERROR(INDEX(Exposure_Population!$E$3:$E$61, MATCH(B6, Exposure_Population!$B$3:$B$61, 0)), "")</f>
        <v>0.27413987450076027</v>
      </c>
      <c r="F6" s="9" t="str">
        <f>IFERROR(INDEX(Exposure_Cattle!$D$3:$D$61, MATCH(B6, Exposure_Cattle!$B$3:$B$61, 0)), "")</f>
        <v/>
      </c>
      <c r="G6" s="9" t="str">
        <f>IFERROR(INDEX(Exposure_WaterDemand!$D$3:$D$61, MATCH(B6, Exposure_WaterDemand!$B$3:$B$61, 0)), "")</f>
        <v/>
      </c>
      <c r="H6" s="10">
        <f t="shared" si="0"/>
        <v>0.20692545924143321</v>
      </c>
      <c r="I6" s="10">
        <f>IFERROR(INDEX(Vulnerability_IPC!$E$3:$E$61, MATCH(B6, Vulnerability_IPC!$B$3:$B$61, 0)), "")</f>
        <v>0.3</v>
      </c>
      <c r="J6" s="10" t="str">
        <f t="shared" si="1"/>
        <v/>
      </c>
      <c r="K6" s="8" t="str">
        <f t="shared" si="2"/>
        <v/>
      </c>
    </row>
    <row r="7" spans="1:11" x14ac:dyDescent="0.2">
      <c r="A7" s="5">
        <v>5</v>
      </c>
      <c r="B7" t="s">
        <v>132</v>
      </c>
      <c r="C7" s="9" t="str">
        <f>IFERROR(INDEX(Hazard_current_cycle!$E$3:$E$61, MATCH(B7, Hazard_current_cycle!$B$3:$B$61, 0)), "")</f>
        <v/>
      </c>
      <c r="D7" s="9">
        <f>IFERROR(INDEX(Exposure_LandUse!$E$3:$E$61, MATCH(B7, Exposure_LandUse!$B$3:$B$61, 0)), "")</f>
        <v>3.5343815275769123E-2</v>
      </c>
      <c r="E7" s="9">
        <f>IFERROR(INDEX(Exposure_Population!$E$3:$E$61, MATCH(B7, Exposure_Population!$B$3:$B$61, 0)), "")</f>
        <v>0.35166279234261255</v>
      </c>
      <c r="F7" s="9" t="str">
        <f>IFERROR(INDEX(Exposure_Cattle!$D$3:$D$61, MATCH(B7, Exposure_Cattle!$B$3:$B$61, 0)), "")</f>
        <v/>
      </c>
      <c r="G7" s="9" t="str">
        <f>IFERROR(INDEX(Exposure_WaterDemand!$D$3:$D$61, MATCH(B7, Exposure_WaterDemand!$B$3:$B$61, 0)), "")</f>
        <v/>
      </c>
      <c r="H7" s="10">
        <f t="shared" si="0"/>
        <v>0.19350330380919084</v>
      </c>
      <c r="I7" s="10">
        <f>IFERROR(INDEX(Vulnerability_IPC!$E$3:$E$61, MATCH(B7, Vulnerability_IPC!$B$3:$B$61, 0)), "")</f>
        <v>0.6</v>
      </c>
      <c r="J7" s="10" t="str">
        <f t="shared" si="1"/>
        <v/>
      </c>
      <c r="K7" s="8" t="str">
        <f t="shared" si="2"/>
        <v/>
      </c>
    </row>
    <row r="8" spans="1:11" x14ac:dyDescent="0.2">
      <c r="A8" s="5">
        <v>6</v>
      </c>
      <c r="B8" t="s">
        <v>133</v>
      </c>
      <c r="C8" s="9" t="str">
        <f>IFERROR(INDEX(Hazard_current_cycle!$E$3:$E$61, MATCH(B8, Hazard_current_cycle!$B$3:$B$61, 0)), "")</f>
        <v/>
      </c>
      <c r="D8" s="9">
        <f>IFERROR(INDEX(Exposure_LandUse!$E$3:$E$61, MATCH(B8, Exposure_LandUse!$B$3:$B$61, 0)), "")</f>
        <v>2.3346038455826668E-2</v>
      </c>
      <c r="E8" s="9">
        <f>IFERROR(INDEX(Exposure_Population!$E$3:$E$61, MATCH(B8, Exposure_Population!$B$3:$B$61, 0)), "")</f>
        <v>1</v>
      </c>
      <c r="F8" s="9" t="str">
        <f>IFERROR(INDEX(Exposure_Cattle!$D$3:$D$61, MATCH(B8, Exposure_Cattle!$B$3:$B$61, 0)), "")</f>
        <v/>
      </c>
      <c r="G8" s="9" t="str">
        <f>IFERROR(INDEX(Exposure_WaterDemand!$D$3:$D$61, MATCH(B8, Exposure_WaterDemand!$B$3:$B$61, 0)), "")</f>
        <v/>
      </c>
      <c r="H8" s="10">
        <f t="shared" si="0"/>
        <v>0.51167301922791331</v>
      </c>
      <c r="I8" s="10">
        <f>IFERROR(INDEX(Vulnerability_IPC!$E$3:$E$61, MATCH(B8, Vulnerability_IPC!$B$3:$B$61, 0)), "")</f>
        <v>0.3</v>
      </c>
      <c r="J8" s="10" t="str">
        <f t="shared" si="1"/>
        <v/>
      </c>
      <c r="K8" s="8" t="str">
        <f t="shared" si="2"/>
        <v/>
      </c>
    </row>
    <row r="9" spans="1:11" x14ac:dyDescent="0.2">
      <c r="A9" s="5">
        <v>7</v>
      </c>
      <c r="B9" t="s">
        <v>134</v>
      </c>
      <c r="C9" s="9" t="str">
        <f>IFERROR(INDEX(Hazard_current_cycle!$E$3:$E$61, MATCH(B9, Hazard_current_cycle!$B$3:$B$61, 0)), "")</f>
        <v/>
      </c>
      <c r="D9" s="9">
        <f>IFERROR(INDEX(Exposure_LandUse!$E$3:$E$61, MATCH(B9, Exposure_LandUse!$B$3:$B$61, 0)), "")</f>
        <v>0.1708341698336916</v>
      </c>
      <c r="E9" s="9">
        <f>IFERROR(INDEX(Exposure_Population!$E$3:$E$61, MATCH(B9, Exposure_Population!$B$3:$B$61, 0)), "")</f>
        <v>0.36331601904066863</v>
      </c>
      <c r="F9" s="9" t="str">
        <f>IFERROR(INDEX(Exposure_Cattle!$D$3:$D$61, MATCH(B9, Exposure_Cattle!$B$3:$B$61, 0)), "")</f>
        <v/>
      </c>
      <c r="G9" s="9" t="str">
        <f>IFERROR(INDEX(Exposure_WaterDemand!$D$3:$D$61, MATCH(B9, Exposure_WaterDemand!$B$3:$B$61, 0)), "")</f>
        <v/>
      </c>
      <c r="H9" s="10">
        <f t="shared" si="0"/>
        <v>0.26707509443718014</v>
      </c>
      <c r="I9" s="10">
        <f>IFERROR(INDEX(Vulnerability_IPC!$E$3:$E$61, MATCH(B9, Vulnerability_IPC!$B$3:$B$61, 0)), "")</f>
        <v>0.3</v>
      </c>
      <c r="J9" s="10" t="str">
        <f t="shared" si="1"/>
        <v/>
      </c>
      <c r="K9" s="8" t="str">
        <f t="shared" si="2"/>
        <v/>
      </c>
    </row>
    <row r="10" spans="1:11" x14ac:dyDescent="0.2">
      <c r="A10" s="5">
        <v>8</v>
      </c>
      <c r="B10" t="s">
        <v>135</v>
      </c>
      <c r="C10" s="9" t="str">
        <f>IFERROR(INDEX(Hazard_current_cycle!$E$3:$E$61, MATCH(B10, Hazard_current_cycle!$B$3:$B$61, 0)), "")</f>
        <v/>
      </c>
      <c r="D10" s="9">
        <f>IFERROR(INDEX(Exposure_LandUse!$E$3:$E$61, MATCH(B10, Exposure_LandUse!$B$3:$B$61, 0)), "")</f>
        <v>0.28847857193801818</v>
      </c>
      <c r="E10" s="9">
        <f>IFERROR(INDEX(Exposure_Population!$E$3:$E$61, MATCH(B10, Exposure_Population!$B$3:$B$61, 0)), "")</f>
        <v>0.59958708651863712</v>
      </c>
      <c r="F10" s="9" t="str">
        <f>IFERROR(INDEX(Exposure_Cattle!$D$3:$D$61, MATCH(B10, Exposure_Cattle!$B$3:$B$61, 0)), "")</f>
        <v/>
      </c>
      <c r="G10" s="9" t="str">
        <f>IFERROR(INDEX(Exposure_WaterDemand!$D$3:$D$61, MATCH(B10, Exposure_WaterDemand!$B$3:$B$61, 0)), "")</f>
        <v/>
      </c>
      <c r="H10" s="10">
        <f t="shared" si="0"/>
        <v>0.44403282922832765</v>
      </c>
      <c r="I10" s="10">
        <f>IFERROR(INDEX(Vulnerability_IPC!$E$3:$E$61, MATCH(B10, Vulnerability_IPC!$B$3:$B$61, 0)), "")</f>
        <v>0.6</v>
      </c>
      <c r="J10" s="10" t="str">
        <f t="shared" si="1"/>
        <v/>
      </c>
      <c r="K10" s="8" t="str">
        <f t="shared" si="2"/>
        <v/>
      </c>
    </row>
    <row r="11" spans="1:11" x14ac:dyDescent="0.2">
      <c r="A11" s="5">
        <v>9</v>
      </c>
      <c r="B11" t="s">
        <v>136</v>
      </c>
      <c r="C11" s="9" t="str">
        <f>IFERROR(INDEX(Hazard_current_cycle!$E$3:$E$61, MATCH(B11, Hazard_current_cycle!$B$3:$B$61, 0)), "")</f>
        <v/>
      </c>
      <c r="D11" s="9">
        <f>IFERROR(INDEX(Exposure_LandUse!$E$3:$E$61, MATCH(B11, Exposure_LandUse!$B$3:$B$61, 0)), "")</f>
        <v>7.9303520290444976E-2</v>
      </c>
      <c r="E11" s="9">
        <f>IFERROR(INDEX(Exposure_Population!$E$3:$E$61, MATCH(B11, Exposure_Population!$B$3:$B$61, 0)), "")</f>
        <v>0.51312656247838406</v>
      </c>
      <c r="F11" s="9" t="str">
        <f>IFERROR(INDEX(Exposure_Cattle!$D$3:$D$61, MATCH(B11, Exposure_Cattle!$B$3:$B$61, 0)), "")</f>
        <v/>
      </c>
      <c r="G11" s="9" t="str">
        <f>IFERROR(INDEX(Exposure_WaterDemand!$D$3:$D$61, MATCH(B11, Exposure_WaterDemand!$B$3:$B$61, 0)), "")</f>
        <v/>
      </c>
      <c r="H11" s="10">
        <f t="shared" si="0"/>
        <v>0.29621504138441451</v>
      </c>
      <c r="I11" s="10">
        <f>IFERROR(INDEX(Vulnerability_IPC!$E$3:$E$61, MATCH(B11, Vulnerability_IPC!$B$3:$B$61, 0)), "")</f>
        <v>0.3</v>
      </c>
      <c r="J11" s="10" t="str">
        <f t="shared" si="1"/>
        <v/>
      </c>
      <c r="K11" s="8" t="str">
        <f t="shared" si="2"/>
        <v/>
      </c>
    </row>
    <row r="12" spans="1:11" x14ac:dyDescent="0.2">
      <c r="A12" s="5">
        <v>10</v>
      </c>
      <c r="B12" t="s">
        <v>137</v>
      </c>
      <c r="C12" s="9" t="str">
        <f>IFERROR(INDEX(Hazard_current_cycle!$E$3:$E$61, MATCH(B12, Hazard_current_cycle!$B$3:$B$61, 0)), "")</f>
        <v/>
      </c>
      <c r="D12" s="9">
        <f>IFERROR(INDEX(Exposure_LandUse!$E$3:$E$61, MATCH(B12, Exposure_LandUse!$B$3:$B$61, 0)), "")</f>
        <v>0.14669507179044275</v>
      </c>
      <c r="E12" s="9">
        <f>IFERROR(INDEX(Exposure_Population!$E$3:$E$61, MATCH(B12, Exposure_Population!$B$3:$B$61, 0)), "")</f>
        <v>0.37339889099454754</v>
      </c>
      <c r="F12" s="9" t="str">
        <f>IFERROR(INDEX(Exposure_Cattle!$D$3:$D$61, MATCH(B12, Exposure_Cattle!$B$3:$B$61, 0)), "")</f>
        <v/>
      </c>
      <c r="G12" s="9" t="str">
        <f>IFERROR(INDEX(Exposure_WaterDemand!$D$3:$D$61, MATCH(B12, Exposure_WaterDemand!$B$3:$B$61, 0)), "")</f>
        <v/>
      </c>
      <c r="H12" s="10">
        <f t="shared" si="0"/>
        <v>0.26004698139249516</v>
      </c>
      <c r="I12" s="10">
        <f>IFERROR(INDEX(Vulnerability_IPC!$E$3:$E$61, MATCH(B12, Vulnerability_IPC!$B$3:$B$61, 0)), "")</f>
        <v>0.3</v>
      </c>
      <c r="J12" s="10" t="str">
        <f t="shared" si="1"/>
        <v/>
      </c>
      <c r="K12" s="8" t="str">
        <f t="shared" si="2"/>
        <v/>
      </c>
    </row>
    <row r="13" spans="1:11" x14ac:dyDescent="0.2">
      <c r="A13" s="5">
        <v>11</v>
      </c>
      <c r="B13" t="s">
        <v>138</v>
      </c>
      <c r="C13" s="9" t="str">
        <f>IFERROR(INDEX(Hazard_current_cycle!$E$3:$E$61, MATCH(B13, Hazard_current_cycle!$B$3:$B$61, 0)), "")</f>
        <v/>
      </c>
      <c r="D13" s="9">
        <f>IFERROR(INDEX(Exposure_LandUse!$E$3:$E$61, MATCH(B13, Exposure_LandUse!$B$3:$B$61, 0)), "")</f>
        <v>0.19067986762283423</v>
      </c>
      <c r="E13" s="9">
        <f>IFERROR(INDEX(Exposure_Population!$E$3:$E$61, MATCH(B13, Exposure_Population!$B$3:$B$61, 0)), "")</f>
        <v>0.67856177486656988</v>
      </c>
      <c r="F13" s="9" t="str">
        <f>IFERROR(INDEX(Exposure_Cattle!$D$3:$D$61, MATCH(B13, Exposure_Cattle!$B$3:$B$61, 0)), "")</f>
        <v/>
      </c>
      <c r="G13" s="9" t="str">
        <f>IFERROR(INDEX(Exposure_WaterDemand!$D$3:$D$61, MATCH(B13, Exposure_WaterDemand!$B$3:$B$61, 0)), "")</f>
        <v/>
      </c>
      <c r="H13" s="10">
        <f t="shared" si="0"/>
        <v>0.43462082124470203</v>
      </c>
      <c r="I13" s="10">
        <f>IFERROR(INDEX(Vulnerability_IPC!$E$3:$E$61, MATCH(B13, Vulnerability_IPC!$B$3:$B$61, 0)), "")</f>
        <v>0.3</v>
      </c>
      <c r="J13" s="10" t="str">
        <f t="shared" si="1"/>
        <v/>
      </c>
      <c r="K13" s="8" t="str">
        <f t="shared" si="2"/>
        <v/>
      </c>
    </row>
    <row r="14" spans="1:11" x14ac:dyDescent="0.2">
      <c r="A14" s="5">
        <v>12</v>
      </c>
      <c r="B14" t="s">
        <v>139</v>
      </c>
      <c r="C14" s="9" t="str">
        <f>IFERROR(INDEX(Hazard_current_cycle!$E$3:$E$61, MATCH(B14, Hazard_current_cycle!$B$3:$B$61, 0)), "")</f>
        <v/>
      </c>
      <c r="D14" s="9">
        <f>IFERROR(INDEX(Exposure_LandUse!$E$3:$E$61, MATCH(B14, Exposure_LandUse!$B$3:$B$61, 0)), "")</f>
        <v>0.14024737619194108</v>
      </c>
      <c r="E14" s="9">
        <f>IFERROR(INDEX(Exposure_Population!$E$3:$E$61, MATCH(B14, Exposure_Population!$B$3:$B$61, 0)), "")</f>
        <v>0.53272655636234101</v>
      </c>
      <c r="F14" s="9" t="str">
        <f>IFERROR(INDEX(Exposure_Cattle!$D$3:$D$61, MATCH(B14, Exposure_Cattle!$B$3:$B$61, 0)), "")</f>
        <v/>
      </c>
      <c r="G14" s="9" t="str">
        <f>IFERROR(INDEX(Exposure_WaterDemand!$D$3:$D$61, MATCH(B14, Exposure_WaterDemand!$B$3:$B$61, 0)), "")</f>
        <v/>
      </c>
      <c r="H14" s="10">
        <f t="shared" si="0"/>
        <v>0.33648696627714103</v>
      </c>
      <c r="I14" s="10">
        <f>IFERROR(INDEX(Vulnerability_IPC!$E$3:$E$61, MATCH(B14, Vulnerability_IPC!$B$3:$B$61, 0)), "")</f>
        <v>0.3</v>
      </c>
      <c r="J14" s="10" t="str">
        <f t="shared" si="1"/>
        <v/>
      </c>
      <c r="K14" s="8" t="str">
        <f t="shared" si="2"/>
        <v/>
      </c>
    </row>
    <row r="15" spans="1:11" x14ac:dyDescent="0.2">
      <c r="A15" s="5">
        <v>13</v>
      </c>
      <c r="B15" t="s">
        <v>140</v>
      </c>
      <c r="C15" s="9" t="str">
        <f>IFERROR(INDEX(Hazard_current_cycle!$E$3:$E$61, MATCH(B15, Hazard_current_cycle!$B$3:$B$61, 0)), "")</f>
        <v/>
      </c>
      <c r="D15" s="9">
        <f>IFERROR(INDEX(Exposure_LandUse!$E$3:$E$61, MATCH(B15, Exposure_LandUse!$B$3:$B$61, 0)), "")</f>
        <v>3.713214490445204E-2</v>
      </c>
      <c r="E15" s="9">
        <f>IFERROR(INDEX(Exposure_Population!$E$3:$E$61, MATCH(B15, Exposure_Population!$B$3:$B$61, 0)), "")</f>
        <v>0.16291549484069126</v>
      </c>
      <c r="F15" s="9" t="str">
        <f>IFERROR(INDEX(Exposure_Cattle!$D$3:$D$61, MATCH(B15, Exposure_Cattle!$B$3:$B$61, 0)), "")</f>
        <v/>
      </c>
      <c r="G15" s="9" t="str">
        <f>IFERROR(INDEX(Exposure_WaterDemand!$D$3:$D$61, MATCH(B15, Exposure_WaterDemand!$B$3:$B$61, 0)), "")</f>
        <v/>
      </c>
      <c r="H15" s="10">
        <f t="shared" si="0"/>
        <v>0.10002381987257165</v>
      </c>
      <c r="I15" s="10">
        <f>IFERROR(INDEX(Vulnerability_IPC!$E$3:$E$61, MATCH(B15, Vulnerability_IPC!$B$3:$B$61, 0)), "")</f>
        <v>0.3</v>
      </c>
      <c r="J15" s="10" t="str">
        <f t="shared" si="1"/>
        <v/>
      </c>
      <c r="K15" s="8" t="str">
        <f t="shared" si="2"/>
        <v/>
      </c>
    </row>
    <row r="16" spans="1:11" x14ac:dyDescent="0.2">
      <c r="A16" s="5">
        <v>14</v>
      </c>
      <c r="B16" t="s">
        <v>141</v>
      </c>
      <c r="C16" s="9" t="str">
        <f>IFERROR(INDEX(Hazard_current_cycle!$E$3:$E$61, MATCH(B16, Hazard_current_cycle!$B$3:$B$61, 0)), "")</f>
        <v/>
      </c>
      <c r="D16" s="9">
        <f>IFERROR(INDEX(Exposure_LandUse!$E$3:$E$61, MATCH(B16, Exposure_LandUse!$B$3:$B$61, 0)), "")</f>
        <v>0.57316680709014234</v>
      </c>
      <c r="E16" s="9">
        <f>IFERROR(INDEX(Exposure_Population!$E$3:$E$61, MATCH(B16, Exposure_Population!$B$3:$B$61, 0)), "")</f>
        <v>0.60877921801216539</v>
      </c>
      <c r="F16" s="9" t="str">
        <f>IFERROR(INDEX(Exposure_Cattle!$D$3:$D$61, MATCH(B16, Exposure_Cattle!$B$3:$B$61, 0)), "")</f>
        <v/>
      </c>
      <c r="G16" s="9" t="str">
        <f>IFERROR(INDEX(Exposure_WaterDemand!$D$3:$D$61, MATCH(B16, Exposure_WaterDemand!$B$3:$B$61, 0)), "")</f>
        <v/>
      </c>
      <c r="H16" s="10">
        <f t="shared" si="0"/>
        <v>0.59097301255115386</v>
      </c>
      <c r="I16" s="10">
        <f>IFERROR(INDEX(Vulnerability_IPC!$E$3:$E$61, MATCH(B16, Vulnerability_IPC!$B$3:$B$61, 0)), "")</f>
        <v>0.3</v>
      </c>
      <c r="J16" s="10" t="str">
        <f t="shared" si="1"/>
        <v/>
      </c>
      <c r="K16" s="8" t="str">
        <f t="shared" si="2"/>
        <v/>
      </c>
    </row>
    <row r="17" spans="1:11" x14ac:dyDescent="0.2">
      <c r="A17" s="5">
        <v>15</v>
      </c>
      <c r="B17" t="s">
        <v>142</v>
      </c>
      <c r="C17" s="9" t="str">
        <f>IFERROR(INDEX(Hazard_current_cycle!$E$3:$E$61, MATCH(B17, Hazard_current_cycle!$B$3:$B$61, 0)), "")</f>
        <v/>
      </c>
      <c r="D17" s="9">
        <f>IFERROR(INDEX(Exposure_LandUse!$E$3:$E$61, MATCH(B17, Exposure_LandUse!$B$3:$B$61, 0)), "")</f>
        <v>0.11738061667423853</v>
      </c>
      <c r="E17" s="9">
        <f>IFERROR(INDEX(Exposure_Population!$E$3:$E$61, MATCH(B17, Exposure_Population!$B$3:$B$61, 0)), "")</f>
        <v>0.40640887991386826</v>
      </c>
      <c r="F17" s="9" t="str">
        <f>IFERROR(INDEX(Exposure_Cattle!$D$3:$D$61, MATCH(B17, Exposure_Cattle!$B$3:$B$61, 0)), "")</f>
        <v/>
      </c>
      <c r="G17" s="9" t="str">
        <f>IFERROR(INDEX(Exposure_WaterDemand!$D$3:$D$61, MATCH(B17, Exposure_WaterDemand!$B$3:$B$61, 0)), "")</f>
        <v/>
      </c>
      <c r="H17" s="10">
        <f t="shared" si="0"/>
        <v>0.2618947482940534</v>
      </c>
      <c r="I17" s="10">
        <f>IFERROR(INDEX(Vulnerability_IPC!$E$3:$E$61, MATCH(B17, Vulnerability_IPC!$B$3:$B$61, 0)), "")</f>
        <v>0.3</v>
      </c>
      <c r="J17" s="10" t="str">
        <f t="shared" si="1"/>
        <v/>
      </c>
      <c r="K17" s="8" t="str">
        <f t="shared" si="2"/>
        <v/>
      </c>
    </row>
    <row r="18" spans="1:11" x14ac:dyDescent="0.2">
      <c r="A18" s="5">
        <v>16</v>
      </c>
      <c r="B18" t="s">
        <v>143</v>
      </c>
      <c r="C18" s="9" t="str">
        <f>IFERROR(INDEX(Hazard_current_cycle!$E$3:$E$61, MATCH(B18, Hazard_current_cycle!$B$3:$B$61, 0)), "")</f>
        <v/>
      </c>
      <c r="D18" s="9">
        <f>IFERROR(INDEX(Exposure_LandUse!$E$3:$E$61, MATCH(B18, Exposure_LandUse!$B$3:$B$61, 0)), "")</f>
        <v>9.8277074939580877E-2</v>
      </c>
      <c r="E18" s="9">
        <f>IFERROR(INDEX(Exposure_Population!$E$3:$E$61, MATCH(B18, Exposure_Population!$B$3:$B$61, 0)), "")</f>
        <v>0.60104056272282791</v>
      </c>
      <c r="F18" s="9" t="str">
        <f>IFERROR(INDEX(Exposure_Cattle!$D$3:$D$61, MATCH(B18, Exposure_Cattle!$B$3:$B$61, 0)), "")</f>
        <v/>
      </c>
      <c r="G18" s="9" t="str">
        <f>IFERROR(INDEX(Exposure_WaterDemand!$D$3:$D$61, MATCH(B18, Exposure_WaterDemand!$B$3:$B$61, 0)), "")</f>
        <v/>
      </c>
      <c r="H18" s="10">
        <f t="shared" si="0"/>
        <v>0.34965881883120442</v>
      </c>
      <c r="I18" s="10">
        <f>IFERROR(INDEX(Vulnerability_IPC!$E$3:$E$61, MATCH(B18, Vulnerability_IPC!$B$3:$B$61, 0)), "")</f>
        <v>0.3</v>
      </c>
      <c r="J18" s="10" t="str">
        <f t="shared" si="1"/>
        <v/>
      </c>
      <c r="K18" s="8" t="str">
        <f t="shared" si="2"/>
        <v/>
      </c>
    </row>
    <row r="19" spans="1:11" x14ac:dyDescent="0.2">
      <c r="A19" s="5">
        <v>17</v>
      </c>
      <c r="B19" t="s">
        <v>144</v>
      </c>
      <c r="C19" s="9" t="str">
        <f>IFERROR(INDEX(Hazard_current_cycle!$E$3:$E$61, MATCH(B19, Hazard_current_cycle!$B$3:$B$61, 0)), "")</f>
        <v/>
      </c>
      <c r="D19" s="9">
        <f>IFERROR(INDEX(Exposure_LandUse!$E$3:$E$61, MATCH(B19, Exposure_LandUse!$B$3:$B$61, 0)), "")</f>
        <v>7.9253354347686919E-3</v>
      </c>
      <c r="E19" s="9">
        <f>IFERROR(INDEX(Exposure_Population!$E$3:$E$61, MATCH(B19, Exposure_Population!$B$3:$B$61, 0)), "")</f>
        <v>0.91451086022369932</v>
      </c>
      <c r="F19" s="9" t="str">
        <f>IFERROR(INDEX(Exposure_Cattle!$D$3:$D$61, MATCH(B19, Exposure_Cattle!$B$3:$B$61, 0)), "")</f>
        <v/>
      </c>
      <c r="G19" s="9" t="str">
        <f>IFERROR(INDEX(Exposure_WaterDemand!$D$3:$D$61, MATCH(B19, Exposure_WaterDemand!$B$3:$B$61, 0)), "")</f>
        <v/>
      </c>
      <c r="H19" s="10">
        <f t="shared" si="0"/>
        <v>0.46121809782923401</v>
      </c>
      <c r="I19" s="10">
        <f>IFERROR(INDEX(Vulnerability_IPC!$E$3:$E$61, MATCH(B19, Vulnerability_IPC!$B$3:$B$61, 0)), "")</f>
        <v>0.6</v>
      </c>
      <c r="J19" s="10" t="str">
        <f t="shared" si="1"/>
        <v/>
      </c>
      <c r="K19" s="8" t="str">
        <f t="shared" si="2"/>
        <v/>
      </c>
    </row>
    <row r="20" spans="1:11" x14ac:dyDescent="0.2">
      <c r="A20" s="5">
        <v>18</v>
      </c>
      <c r="B20" t="s">
        <v>145</v>
      </c>
      <c r="C20" s="9" t="str">
        <f>IFERROR(INDEX(Hazard_current_cycle!$E$3:$E$61, MATCH(B20, Hazard_current_cycle!$B$3:$B$61, 0)), "")</f>
        <v/>
      </c>
      <c r="D20" s="9">
        <f>IFERROR(INDEX(Exposure_LandUse!$E$3:$E$61, MATCH(B20, Exposure_LandUse!$B$3:$B$61, 0)), "")</f>
        <v>0.1620279563880514</v>
      </c>
      <c r="E20" s="9">
        <f>IFERROR(INDEX(Exposure_Population!$E$3:$E$61, MATCH(B20, Exposure_Population!$B$3:$B$61, 0)), "")</f>
        <v>0.18940651946092582</v>
      </c>
      <c r="F20" s="9" t="str">
        <f>IFERROR(INDEX(Exposure_Cattle!$D$3:$D$61, MATCH(B20, Exposure_Cattle!$B$3:$B$61, 0)), "")</f>
        <v/>
      </c>
      <c r="G20" s="9" t="str">
        <f>IFERROR(INDEX(Exposure_WaterDemand!$D$3:$D$61, MATCH(B20, Exposure_WaterDemand!$B$3:$B$61, 0)), "")</f>
        <v/>
      </c>
      <c r="H20" s="10">
        <f t="shared" si="0"/>
        <v>0.17571723792448862</v>
      </c>
      <c r="I20" s="10">
        <f>IFERROR(INDEX(Vulnerability_IPC!$E$3:$E$61, MATCH(B20, Vulnerability_IPC!$B$3:$B$61, 0)), "")</f>
        <v>0.3</v>
      </c>
      <c r="J20" s="10" t="str">
        <f t="shared" si="1"/>
        <v/>
      </c>
      <c r="K20" s="8" t="str">
        <f t="shared" si="2"/>
        <v/>
      </c>
    </row>
    <row r="21" spans="1:11" x14ac:dyDescent="0.2">
      <c r="A21" s="5">
        <v>19</v>
      </c>
      <c r="B21" t="s">
        <v>146</v>
      </c>
      <c r="C21" s="9" t="str">
        <f>IFERROR(INDEX(Hazard_current_cycle!$E$3:$E$61, MATCH(B21, Hazard_current_cycle!$B$3:$B$61, 0)), "")</f>
        <v/>
      </c>
      <c r="D21" s="9">
        <f>IFERROR(INDEX(Exposure_LandUse!$E$3:$E$61, MATCH(B21, Exposure_LandUse!$B$3:$B$61, 0)), "")</f>
        <v>6.2699126618423112E-2</v>
      </c>
      <c r="E21" s="9">
        <f>IFERROR(INDEX(Exposure_Population!$E$3:$E$61, MATCH(B21, Exposure_Population!$B$3:$B$61, 0)), "")</f>
        <v>0</v>
      </c>
      <c r="F21" s="9" t="str">
        <f>IFERROR(INDEX(Exposure_Cattle!$D$3:$D$61, MATCH(B21, Exposure_Cattle!$B$3:$B$61, 0)), "")</f>
        <v/>
      </c>
      <c r="G21" s="9" t="str">
        <f>IFERROR(INDEX(Exposure_WaterDemand!$D$3:$D$61, MATCH(B21, Exposure_WaterDemand!$B$3:$B$61, 0)), "")</f>
        <v/>
      </c>
      <c r="H21" s="10">
        <f t="shared" si="0"/>
        <v>3.1349563309211556E-2</v>
      </c>
      <c r="I21" s="10">
        <f>IFERROR(INDEX(Vulnerability_IPC!$E$3:$E$61, MATCH(B21, Vulnerability_IPC!$B$3:$B$61, 0)), "")</f>
        <v>0.3</v>
      </c>
      <c r="J21" s="10" t="str">
        <f t="shared" si="1"/>
        <v/>
      </c>
      <c r="K21" s="8" t="str">
        <f t="shared" si="2"/>
        <v/>
      </c>
    </row>
    <row r="22" spans="1:11" x14ac:dyDescent="0.2">
      <c r="A22" s="5">
        <v>20</v>
      </c>
      <c r="B22" t="s">
        <v>147</v>
      </c>
      <c r="C22" s="9" t="str">
        <f>IFERROR(INDEX(Hazard_current_cycle!$E$3:$E$61, MATCH(B22, Hazard_current_cycle!$B$3:$B$61, 0)), "")</f>
        <v/>
      </c>
      <c r="D22" s="9">
        <f>IFERROR(INDEX(Exposure_LandUse!$E$3:$E$61, MATCH(B22, Exposure_LandUse!$B$3:$B$61, 0)), "")</f>
        <v>8.482970969104392E-2</v>
      </c>
      <c r="E22" s="9">
        <f>IFERROR(INDEX(Exposure_Population!$E$3:$E$61, MATCH(B22, Exposure_Population!$B$3:$B$61, 0)), "")</f>
        <v>0.24867548080766716</v>
      </c>
      <c r="F22" s="9" t="str">
        <f>IFERROR(INDEX(Exposure_Cattle!$D$3:$D$61, MATCH(B22, Exposure_Cattle!$B$3:$B$61, 0)), "")</f>
        <v/>
      </c>
      <c r="G22" s="9" t="str">
        <f>IFERROR(INDEX(Exposure_WaterDemand!$D$3:$D$61, MATCH(B22, Exposure_WaterDemand!$B$3:$B$61, 0)), "")</f>
        <v/>
      </c>
      <c r="H22" s="10">
        <f t="shared" si="0"/>
        <v>0.16675259524935554</v>
      </c>
      <c r="I22" s="10">
        <f>IFERROR(INDEX(Vulnerability_IPC!$E$3:$E$61, MATCH(B22, Vulnerability_IPC!$B$3:$B$61, 0)), "")</f>
        <v>0.3</v>
      </c>
      <c r="J22" s="10" t="str">
        <f t="shared" si="1"/>
        <v/>
      </c>
      <c r="K22" s="8" t="str">
        <f t="shared" si="2"/>
        <v/>
      </c>
    </row>
    <row r="23" spans="1:11" x14ac:dyDescent="0.2">
      <c r="A23" s="5">
        <v>21</v>
      </c>
      <c r="B23" t="s">
        <v>148</v>
      </c>
      <c r="C23" s="9" t="str">
        <f>IFERROR(INDEX(Hazard_current_cycle!$E$3:$E$61, MATCH(B23, Hazard_current_cycle!$B$3:$B$61, 0)), "")</f>
        <v/>
      </c>
      <c r="D23" s="9">
        <f>IFERROR(INDEX(Exposure_LandUse!$E$3:$E$61, MATCH(B23, Exposure_LandUse!$B$3:$B$61, 0)), "")</f>
        <v>0.13235328730638554</v>
      </c>
      <c r="E23" s="9">
        <f>IFERROR(INDEX(Exposure_Population!$E$3:$E$61, MATCH(B23, Exposure_Population!$B$3:$B$61, 0)), "")</f>
        <v>0.2938764621550034</v>
      </c>
      <c r="F23" s="9" t="str">
        <f>IFERROR(INDEX(Exposure_Cattle!$D$3:$D$61, MATCH(B23, Exposure_Cattle!$B$3:$B$61, 0)), "")</f>
        <v/>
      </c>
      <c r="G23" s="9" t="str">
        <f>IFERROR(INDEX(Exposure_WaterDemand!$D$3:$D$61, MATCH(B23, Exposure_WaterDemand!$B$3:$B$61, 0)), "")</f>
        <v/>
      </c>
      <c r="H23" s="10">
        <f t="shared" si="0"/>
        <v>0.21311487473069446</v>
      </c>
      <c r="I23" s="10">
        <f>IFERROR(INDEX(Vulnerability_IPC!$E$3:$E$61, MATCH(B23, Vulnerability_IPC!$B$3:$B$61, 0)), "")</f>
        <v>0.6</v>
      </c>
      <c r="J23" s="10" t="str">
        <f t="shared" si="1"/>
        <v/>
      </c>
      <c r="K23" s="8" t="str">
        <f t="shared" si="2"/>
        <v/>
      </c>
    </row>
    <row r="24" spans="1:11" x14ac:dyDescent="0.2">
      <c r="A24" s="5">
        <v>22</v>
      </c>
      <c r="B24" t="s">
        <v>149</v>
      </c>
      <c r="C24" s="9" t="str">
        <f>IFERROR(INDEX(Hazard_current_cycle!$E$3:$E$61, MATCH(B24, Hazard_current_cycle!$B$3:$B$61, 0)), "")</f>
        <v/>
      </c>
      <c r="D24" s="9">
        <f>IFERROR(INDEX(Exposure_LandUse!$E$3:$E$61, MATCH(B24, Exposure_LandUse!$B$3:$B$61, 0)), "")</f>
        <v>0.19614659222666561</v>
      </c>
      <c r="E24" s="9">
        <f>IFERROR(INDEX(Exposure_Population!$E$3:$E$61, MATCH(B24, Exposure_Population!$B$3:$B$61, 0)), "")</f>
        <v>0.90251153549311114</v>
      </c>
      <c r="F24" s="9" t="str">
        <f>IFERROR(INDEX(Exposure_Cattle!$D$3:$D$61, MATCH(B24, Exposure_Cattle!$B$3:$B$61, 0)), "")</f>
        <v/>
      </c>
      <c r="G24" s="9" t="str">
        <f>IFERROR(INDEX(Exposure_WaterDemand!$D$3:$D$61, MATCH(B24, Exposure_WaterDemand!$B$3:$B$61, 0)), "")</f>
        <v/>
      </c>
      <c r="H24" s="10">
        <f t="shared" si="0"/>
        <v>0.54932906385988833</v>
      </c>
      <c r="I24" s="10">
        <f>IFERROR(INDEX(Vulnerability_IPC!$E$3:$E$61, MATCH(B24, Vulnerability_IPC!$B$3:$B$61, 0)), "")</f>
        <v>0.6</v>
      </c>
      <c r="J24" s="10" t="str">
        <f t="shared" si="1"/>
        <v/>
      </c>
      <c r="K24" s="8" t="str">
        <f t="shared" si="2"/>
        <v/>
      </c>
    </row>
    <row r="25" spans="1:11" x14ac:dyDescent="0.2">
      <c r="A25" s="5">
        <v>23</v>
      </c>
      <c r="B25" t="s">
        <v>150</v>
      </c>
      <c r="C25" s="9" t="str">
        <f>IFERROR(INDEX(Hazard_current_cycle!$E$3:$E$61, MATCH(B25, Hazard_current_cycle!$B$3:$B$61, 0)), "")</f>
        <v/>
      </c>
      <c r="D25" s="9">
        <f>IFERROR(INDEX(Exposure_LandUse!$E$3:$E$61, MATCH(B25, Exposure_LandUse!$B$3:$B$61, 0)), "")</f>
        <v>2.9096241754995996E-3</v>
      </c>
      <c r="E25" s="9">
        <f>IFERROR(INDEX(Exposure_Population!$E$3:$E$61, MATCH(B25, Exposure_Population!$B$3:$B$61, 0)), "")</f>
        <v>0.26910983835279328</v>
      </c>
      <c r="F25" s="9" t="str">
        <f>IFERROR(INDEX(Exposure_Cattle!$D$3:$D$61, MATCH(B25, Exposure_Cattle!$B$3:$B$61, 0)), "")</f>
        <v/>
      </c>
      <c r="G25" s="9" t="str">
        <f>IFERROR(INDEX(Exposure_WaterDemand!$D$3:$D$61, MATCH(B25, Exposure_WaterDemand!$B$3:$B$61, 0)), "")</f>
        <v/>
      </c>
      <c r="H25" s="10">
        <f t="shared" si="0"/>
        <v>0.13600973126414645</v>
      </c>
      <c r="I25" s="10">
        <f>IFERROR(INDEX(Vulnerability_IPC!$E$3:$E$61, MATCH(B25, Vulnerability_IPC!$B$3:$B$61, 0)), "")</f>
        <v>0.6</v>
      </c>
      <c r="J25" s="10" t="str">
        <f t="shared" si="1"/>
        <v/>
      </c>
      <c r="K25" s="8" t="str">
        <f t="shared" si="2"/>
        <v/>
      </c>
    </row>
    <row r="26" spans="1:11" x14ac:dyDescent="0.2">
      <c r="A26" s="5">
        <v>24</v>
      </c>
      <c r="B26" t="s">
        <v>151</v>
      </c>
      <c r="C26" s="9" t="str">
        <f>IFERROR(INDEX(Hazard_current_cycle!$E$3:$E$61, MATCH(B26, Hazard_current_cycle!$B$3:$B$61, 0)), "")</f>
        <v/>
      </c>
      <c r="D26" s="9">
        <f>IFERROR(INDEX(Exposure_LandUse!$E$3:$E$61, MATCH(B26, Exposure_LandUse!$B$3:$B$61, 0)), "")</f>
        <v>3.4835226427765591E-2</v>
      </c>
      <c r="E26" s="9">
        <f>IFERROR(INDEX(Exposure_Population!$E$3:$E$61, MATCH(B26, Exposure_Population!$B$3:$B$61, 0)), "")</f>
        <v>0.18600868833360173</v>
      </c>
      <c r="F26" s="9" t="str">
        <f>IFERROR(INDEX(Exposure_Cattle!$D$3:$D$61, MATCH(B26, Exposure_Cattle!$B$3:$B$61, 0)), "")</f>
        <v/>
      </c>
      <c r="G26" s="9" t="str">
        <f>IFERROR(INDEX(Exposure_WaterDemand!$D$3:$D$61, MATCH(B26, Exposure_WaterDemand!$B$3:$B$61, 0)), "")</f>
        <v/>
      </c>
      <c r="H26" s="10">
        <f t="shared" si="0"/>
        <v>0.11042195738068367</v>
      </c>
      <c r="I26" s="10">
        <f>IFERROR(INDEX(Vulnerability_IPC!$E$3:$E$61, MATCH(B26, Vulnerability_IPC!$B$3:$B$61, 0)), "")</f>
        <v>0.6</v>
      </c>
      <c r="J26" s="10" t="str">
        <f t="shared" si="1"/>
        <v/>
      </c>
      <c r="K26" s="8" t="str">
        <f t="shared" si="2"/>
        <v/>
      </c>
    </row>
    <row r="27" spans="1:11" x14ac:dyDescent="0.2">
      <c r="A27" s="5">
        <v>25</v>
      </c>
      <c r="B27" t="s">
        <v>152</v>
      </c>
      <c r="C27" s="9" t="str">
        <f>IFERROR(INDEX(Hazard_current_cycle!$E$3:$E$61, MATCH(B27, Hazard_current_cycle!$B$3:$B$61, 0)), "")</f>
        <v/>
      </c>
      <c r="D27" s="9">
        <f>IFERROR(INDEX(Exposure_LandUse!$E$3:$E$61, MATCH(B27, Exposure_LandUse!$B$3:$B$61, 0)), "")</f>
        <v>0.52374355775668402</v>
      </c>
      <c r="E27" s="9">
        <f>IFERROR(INDEX(Exposure_Population!$E$3:$E$61, MATCH(B27, Exposure_Population!$B$3:$B$61, 0)), "")</f>
        <v>0.11648310071120976</v>
      </c>
      <c r="F27" s="9" t="str">
        <f>IFERROR(INDEX(Exposure_Cattle!$D$3:$D$61, MATCH(B27, Exposure_Cattle!$B$3:$B$61, 0)), "")</f>
        <v/>
      </c>
      <c r="G27" s="9" t="str">
        <f>IFERROR(INDEX(Exposure_WaterDemand!$D$3:$D$61, MATCH(B27, Exposure_WaterDemand!$B$3:$B$61, 0)), "")</f>
        <v/>
      </c>
      <c r="H27" s="10">
        <f t="shared" si="0"/>
        <v>0.32011332923394686</v>
      </c>
      <c r="I27" s="10">
        <f>IFERROR(INDEX(Vulnerability_IPC!$E$3:$E$61, MATCH(B27, Vulnerability_IPC!$B$3:$B$61, 0)), "")</f>
        <v>0.6</v>
      </c>
      <c r="J27" s="10" t="str">
        <f t="shared" si="1"/>
        <v/>
      </c>
      <c r="K27" s="8" t="str">
        <f t="shared" si="2"/>
        <v/>
      </c>
    </row>
    <row r="28" spans="1:11" x14ac:dyDescent="0.2">
      <c r="A28" s="5">
        <v>26</v>
      </c>
      <c r="B28" t="s">
        <v>153</v>
      </c>
      <c r="C28" s="9" t="str">
        <f>IFERROR(INDEX(Hazard_current_cycle!$E$3:$E$61, MATCH(B28, Hazard_current_cycle!$B$3:$B$61, 0)), "")</f>
        <v/>
      </c>
      <c r="D28" s="9">
        <f>IFERROR(INDEX(Exposure_LandUse!$E$3:$E$61, MATCH(B28, Exposure_LandUse!$B$3:$B$61, 0)), "")</f>
        <v>3.0283121877621812E-2</v>
      </c>
      <c r="E28" s="9">
        <f>IFERROR(INDEX(Exposure_Population!$E$3:$E$61, MATCH(B28, Exposure_Population!$B$3:$B$61, 0)), "")</f>
        <v>0.73492236918424481</v>
      </c>
      <c r="F28" s="9" t="str">
        <f>IFERROR(INDEX(Exposure_Cattle!$D$3:$D$61, MATCH(B28, Exposure_Cattle!$B$3:$B$61, 0)), "")</f>
        <v/>
      </c>
      <c r="G28" s="9" t="str">
        <f>IFERROR(INDEX(Exposure_WaterDemand!$D$3:$D$61, MATCH(B28, Exposure_WaterDemand!$B$3:$B$61, 0)), "")</f>
        <v/>
      </c>
      <c r="H28" s="10">
        <f t="shared" si="0"/>
        <v>0.38260274553093332</v>
      </c>
      <c r="I28" s="10">
        <f>IFERROR(INDEX(Vulnerability_IPC!$E$3:$E$61, MATCH(B28, Vulnerability_IPC!$B$3:$B$61, 0)), "")</f>
        <v>0.6</v>
      </c>
      <c r="J28" s="10" t="str">
        <f t="shared" si="1"/>
        <v/>
      </c>
      <c r="K28" s="8" t="str">
        <f t="shared" si="2"/>
        <v/>
      </c>
    </row>
    <row r="29" spans="1:11" x14ac:dyDescent="0.2">
      <c r="A29" s="5">
        <v>27</v>
      </c>
      <c r="B29" t="s">
        <v>154</v>
      </c>
      <c r="C29" s="9" t="str">
        <f>IFERROR(INDEX(Hazard_current_cycle!$E$3:$E$61, MATCH(B29, Hazard_current_cycle!$B$3:$B$61, 0)), "")</f>
        <v/>
      </c>
      <c r="D29" s="9">
        <f>IFERROR(INDEX(Exposure_LandUse!$E$3:$E$61, MATCH(B29, Exposure_LandUse!$B$3:$B$61, 0)), "")</f>
        <v>0</v>
      </c>
      <c r="E29" s="9">
        <f>IFERROR(INDEX(Exposure_Population!$E$3:$E$61, MATCH(B29, Exposure_Population!$B$3:$B$61, 0)), "")</f>
        <v>0.20793348019765392</v>
      </c>
      <c r="F29" s="9" t="str">
        <f>IFERROR(INDEX(Exposure_Cattle!$D$3:$D$61, MATCH(B29, Exposure_Cattle!$B$3:$B$61, 0)), "")</f>
        <v/>
      </c>
      <c r="G29" s="9" t="str">
        <f>IFERROR(INDEX(Exposure_WaterDemand!$D$3:$D$61, MATCH(B29, Exposure_WaterDemand!$B$3:$B$61, 0)), "")</f>
        <v/>
      </c>
      <c r="H29" s="10">
        <f t="shared" si="0"/>
        <v>0.10396674009882696</v>
      </c>
      <c r="I29" s="10">
        <f>IFERROR(INDEX(Vulnerability_IPC!$E$3:$E$61, MATCH(B29, Vulnerability_IPC!$B$3:$B$61, 0)), "")</f>
        <v>0.6</v>
      </c>
      <c r="J29" s="10" t="str">
        <f t="shared" si="1"/>
        <v/>
      </c>
      <c r="K29" s="8" t="str">
        <f t="shared" si="2"/>
        <v/>
      </c>
    </row>
    <row r="30" spans="1:11" x14ac:dyDescent="0.2">
      <c r="A30" s="5">
        <v>28</v>
      </c>
      <c r="B30" t="s">
        <v>155</v>
      </c>
      <c r="C30" s="9" t="str">
        <f>IFERROR(INDEX(Hazard_current_cycle!$E$3:$E$61, MATCH(B30, Hazard_current_cycle!$B$3:$B$61, 0)), "")</f>
        <v/>
      </c>
      <c r="D30" s="9">
        <f>IFERROR(INDEX(Exposure_LandUse!$E$3:$E$61, MATCH(B30, Exposure_LandUse!$B$3:$B$61, 0)), "")</f>
        <v>1</v>
      </c>
      <c r="E30" s="9">
        <f>IFERROR(INDEX(Exposure_Population!$E$3:$E$61, MATCH(B30, Exposure_Population!$B$3:$B$61, 0)), "")</f>
        <v>0.50188782722445502</v>
      </c>
      <c r="F30" s="9" t="str">
        <f>IFERROR(INDEX(Exposure_Cattle!$D$3:$D$61, MATCH(B30, Exposure_Cattle!$B$3:$B$61, 0)), "")</f>
        <v/>
      </c>
      <c r="G30" s="9" t="str">
        <f>IFERROR(INDEX(Exposure_WaterDemand!$D$3:$D$61, MATCH(B30, Exposure_WaterDemand!$B$3:$B$61, 0)), "")</f>
        <v/>
      </c>
      <c r="H30" s="10">
        <f t="shared" si="0"/>
        <v>0.75094391361222756</v>
      </c>
      <c r="I30" s="10">
        <f>IFERROR(INDEX(Vulnerability_IPC!$E$3:$E$61, MATCH(B30, Vulnerability_IPC!$B$3:$B$61, 0)), "")</f>
        <v>0.6</v>
      </c>
      <c r="J30" s="10" t="str">
        <f t="shared" si="1"/>
        <v/>
      </c>
      <c r="K30" s="8" t="str">
        <f t="shared" si="2"/>
        <v/>
      </c>
    </row>
    <row r="31" spans="1:11" x14ac:dyDescent="0.2">
      <c r="A31" s="5">
        <v>29</v>
      </c>
      <c r="B31" t="s">
        <v>156</v>
      </c>
      <c r="C31" s="9" t="str">
        <f>IFERROR(INDEX(Hazard_current_cycle!$E$3:$E$61, MATCH(B31, Hazard_current_cycle!$B$3:$B$61, 0)), "")</f>
        <v/>
      </c>
      <c r="D31" s="9">
        <f>IFERROR(INDEX(Exposure_LandUse!$E$3:$E$61, MATCH(B31, Exposure_LandUse!$B$3:$B$61, 0)), "")</f>
        <v>2.2380806891437333E-2</v>
      </c>
      <c r="E31" s="9">
        <f>IFERROR(INDEX(Exposure_Population!$E$3:$E$61, MATCH(B31, Exposure_Population!$B$3:$B$61, 0)), "")</f>
        <v>0.17369699654498116</v>
      </c>
      <c r="F31" s="9" t="str">
        <f>IFERROR(INDEX(Exposure_Cattle!$D$3:$D$61, MATCH(B31, Exposure_Cattle!$B$3:$B$61, 0)), "")</f>
        <v/>
      </c>
      <c r="G31" s="9" t="str">
        <f>IFERROR(INDEX(Exposure_WaterDemand!$D$3:$D$61, MATCH(B31, Exposure_WaterDemand!$B$3:$B$61, 0)), "")</f>
        <v/>
      </c>
      <c r="H31" s="10">
        <f t="shared" si="0"/>
        <v>9.8038901718209254E-2</v>
      </c>
      <c r="I31" s="10">
        <f>IFERROR(INDEX(Vulnerability_IPC!$E$3:$E$61, MATCH(B31, Vulnerability_IPC!$B$3:$B$61, 0)), "")</f>
        <v>0.6</v>
      </c>
      <c r="J31" s="10" t="str">
        <f t="shared" si="1"/>
        <v/>
      </c>
      <c r="K31" s="8" t="str">
        <f t="shared" si="2"/>
        <v/>
      </c>
    </row>
    <row r="32" spans="1:11" x14ac:dyDescent="0.2">
      <c r="A32" s="5">
        <v>30</v>
      </c>
      <c r="B32" t="s">
        <v>157</v>
      </c>
      <c r="C32" s="9" t="str">
        <f>IFERROR(INDEX(Hazard_current_cycle!$E$3:$E$61, MATCH(B32, Hazard_current_cycle!$B$3:$B$61, 0)), "")</f>
        <v/>
      </c>
      <c r="D32" s="9">
        <f>IFERROR(INDEX(Exposure_LandUse!$E$3:$E$61, MATCH(B32, Exposure_LandUse!$B$3:$B$61, 0)), "")</f>
        <v>0.91035031439498504</v>
      </c>
      <c r="E32" s="9">
        <f>IFERROR(INDEX(Exposure_Population!$E$3:$E$61, MATCH(B32, Exposure_Population!$B$3:$B$61, 0)), "")</f>
        <v>0.39587849161836569</v>
      </c>
      <c r="F32" s="9" t="str">
        <f>IFERROR(INDEX(Exposure_Cattle!$D$3:$D$61, MATCH(B32, Exposure_Cattle!$B$3:$B$61, 0)), "")</f>
        <v/>
      </c>
      <c r="G32" s="9" t="str">
        <f>IFERROR(INDEX(Exposure_WaterDemand!$D$3:$D$61, MATCH(B32, Exposure_WaterDemand!$B$3:$B$61, 0)), "")</f>
        <v/>
      </c>
      <c r="H32" s="10">
        <f t="shared" si="0"/>
        <v>0.65311440300667534</v>
      </c>
      <c r="I32" s="10">
        <f>IFERROR(INDEX(Vulnerability_IPC!$E$3:$E$61, MATCH(B32, Vulnerability_IPC!$B$3:$B$61, 0)), "")</f>
        <v>0.6</v>
      </c>
      <c r="J32" s="10" t="str">
        <f t="shared" si="1"/>
        <v/>
      </c>
      <c r="K32" s="8" t="str">
        <f t="shared" si="2"/>
        <v/>
      </c>
    </row>
    <row r="33" spans="1:11" x14ac:dyDescent="0.2">
      <c r="A33" s="5">
        <v>31</v>
      </c>
      <c r="B33" t="s">
        <v>158</v>
      </c>
      <c r="C33" s="9" t="str">
        <f>IFERROR(INDEX(Hazard_current_cycle!$E$3:$E$61, MATCH(B33, Hazard_current_cycle!$B$3:$B$61, 0)), "")</f>
        <v/>
      </c>
      <c r="D33" s="9">
        <f>IFERROR(INDEX(Exposure_LandUse!$E$3:$E$61, MATCH(B33, Exposure_LandUse!$B$3:$B$61, 0)), "")</f>
        <v>0.58208330782206985</v>
      </c>
      <c r="E33" s="9">
        <f>IFERROR(INDEX(Exposure_Population!$E$3:$E$61, MATCH(B33, Exposure_Population!$B$3:$B$61, 0)), "")</f>
        <v>0.66701275004027805</v>
      </c>
      <c r="F33" s="9" t="str">
        <f>IFERROR(INDEX(Exposure_Cattle!$D$3:$D$61, MATCH(B33, Exposure_Cattle!$B$3:$B$61, 0)), "")</f>
        <v/>
      </c>
      <c r="G33" s="9" t="str">
        <f>IFERROR(INDEX(Exposure_WaterDemand!$D$3:$D$61, MATCH(B33, Exposure_WaterDemand!$B$3:$B$61, 0)), "")</f>
        <v/>
      </c>
      <c r="H33" s="10">
        <f t="shared" si="0"/>
        <v>0.624548028931174</v>
      </c>
      <c r="I33" s="10">
        <f>IFERROR(INDEX(Vulnerability_IPC!$E$3:$E$61, MATCH(B33, Vulnerability_IPC!$B$3:$B$61, 0)), "")</f>
        <v>0.6</v>
      </c>
      <c r="J33" s="10" t="str">
        <f t="shared" si="1"/>
        <v/>
      </c>
      <c r="K33" s="8" t="str">
        <f t="shared" si="2"/>
        <v/>
      </c>
    </row>
    <row r="34" spans="1:11" x14ac:dyDescent="0.2">
      <c r="A34" s="5">
        <v>32</v>
      </c>
      <c r="B34" t="s">
        <v>159</v>
      </c>
      <c r="C34" s="9" t="str">
        <f>IFERROR(INDEX(Hazard_current_cycle!$E$3:$E$61, MATCH(B34, Hazard_current_cycle!$B$3:$B$61, 0)), "")</f>
        <v/>
      </c>
      <c r="D34" s="9">
        <f>IFERROR(INDEX(Exposure_LandUse!$E$3:$E$61, MATCH(B34, Exposure_LandUse!$B$3:$B$61, 0)), "")</f>
        <v>0.12177045178016697</v>
      </c>
      <c r="E34" s="9">
        <f>IFERROR(INDEX(Exposure_Population!$E$3:$E$61, MATCH(B34, Exposure_Population!$B$3:$B$61, 0)), "")</f>
        <v>0.4601189805833939</v>
      </c>
      <c r="F34" s="9" t="str">
        <f>IFERROR(INDEX(Exposure_Cattle!$D$3:$D$61, MATCH(B34, Exposure_Cattle!$B$3:$B$61, 0)), "")</f>
        <v/>
      </c>
      <c r="G34" s="9" t="str">
        <f>IFERROR(INDEX(Exposure_WaterDemand!$D$3:$D$61, MATCH(B34, Exposure_WaterDemand!$B$3:$B$61, 0)), "")</f>
        <v/>
      </c>
      <c r="H34" s="10">
        <f t="shared" si="0"/>
        <v>0.29094471618178042</v>
      </c>
      <c r="I34" s="10">
        <f>IFERROR(INDEX(Vulnerability_IPC!$E$3:$E$61, MATCH(B34, Vulnerability_IPC!$B$3:$B$61, 0)), "")</f>
        <v>0.6</v>
      </c>
      <c r="J34" s="10" t="str">
        <f t="shared" si="1"/>
        <v/>
      </c>
      <c r="K34" s="8" t="str">
        <f t="shared" si="2"/>
        <v/>
      </c>
    </row>
    <row r="35" spans="1:11" x14ac:dyDescent="0.2">
      <c r="A35" s="5">
        <v>33</v>
      </c>
      <c r="B35" t="s">
        <v>160</v>
      </c>
      <c r="C35" s="9" t="str">
        <f>IFERROR(INDEX(Hazard_current_cycle!$E$3:$E$61, MATCH(B35, Hazard_current_cycle!$B$3:$B$61, 0)), "")</f>
        <v/>
      </c>
      <c r="D35" s="9">
        <f>IFERROR(INDEX(Exposure_LandUse!$E$3:$E$61, MATCH(B35, Exposure_LandUse!$B$3:$B$61, 0)), "")</f>
        <v>0.1504808001768638</v>
      </c>
      <c r="E35" s="9">
        <f>IFERROR(INDEX(Exposure_Population!$E$3:$E$61, MATCH(B35, Exposure_Population!$B$3:$B$61, 0)), "")</f>
        <v>0.42452513586924329</v>
      </c>
      <c r="F35" s="9" t="str">
        <f>IFERROR(INDEX(Exposure_Cattle!$D$3:$D$61, MATCH(B35, Exposure_Cattle!$B$3:$B$61, 0)), "")</f>
        <v/>
      </c>
      <c r="G35" s="9" t="str">
        <f>IFERROR(INDEX(Exposure_WaterDemand!$D$3:$D$61, MATCH(B35, Exposure_WaterDemand!$B$3:$B$61, 0)), "")</f>
        <v/>
      </c>
      <c r="H35" s="10">
        <f t="shared" ref="H35:H61" si="3">IFERROR(AVERAGE(D35:G35), "")</f>
        <v>0.28750296802305353</v>
      </c>
      <c r="I35" s="10">
        <f>IFERROR(INDEX(Vulnerability_IPC!$E$3:$E$61, MATCH(B35, Vulnerability_IPC!$B$3:$B$61, 0)), "")</f>
        <v>0.3</v>
      </c>
      <c r="J35" s="10" t="str">
        <f t="shared" ref="J35:J61" si="4">IFERROR(C35*H35*I35, "")</f>
        <v/>
      </c>
      <c r="K35" s="8" t="str">
        <f t="shared" ref="K35:K61" si="5">IF(OR(J35="",NOT(ISNUMBER(J35))),"",IF(J35&gt;=0.5,"Very High",IF(J35&gt;=0.3,"High",IF(J35&gt;=0.15,"Moderate","Low"))))</f>
        <v/>
      </c>
    </row>
    <row r="36" spans="1:11" x14ac:dyDescent="0.2">
      <c r="A36" s="5">
        <v>34</v>
      </c>
      <c r="B36" t="s">
        <v>161</v>
      </c>
      <c r="C36" s="9" t="str">
        <f>IFERROR(INDEX(Hazard_current_cycle!$E$3:$E$61, MATCH(B36, Hazard_current_cycle!$B$3:$B$61, 0)), "")</f>
        <v/>
      </c>
      <c r="D36" s="9">
        <f>IFERROR(INDEX(Exposure_LandUse!$E$3:$E$61, MATCH(B36, Exposure_LandUse!$B$3:$B$61, 0)), "")</f>
        <v>0.28321439142734001</v>
      </c>
      <c r="E36" s="9">
        <f>IFERROR(INDEX(Exposure_Population!$E$3:$E$61, MATCH(B36, Exposure_Population!$B$3:$B$61, 0)), "")</f>
        <v>0.93496642061477275</v>
      </c>
      <c r="F36" s="9" t="str">
        <f>IFERROR(INDEX(Exposure_Cattle!$D$3:$D$61, MATCH(B36, Exposure_Cattle!$B$3:$B$61, 0)), "")</f>
        <v/>
      </c>
      <c r="G36" s="9" t="str">
        <f>IFERROR(INDEX(Exposure_WaterDemand!$D$3:$D$61, MATCH(B36, Exposure_WaterDemand!$B$3:$B$61, 0)), "")</f>
        <v/>
      </c>
      <c r="H36" s="10">
        <f t="shared" si="3"/>
        <v>0.60909040602105635</v>
      </c>
      <c r="I36" s="10">
        <f>IFERROR(INDEX(Vulnerability_IPC!$E$3:$E$61, MATCH(B36, Vulnerability_IPC!$B$3:$B$61, 0)), "")</f>
        <v>0.3</v>
      </c>
      <c r="J36" s="10" t="str">
        <f t="shared" si="4"/>
        <v/>
      </c>
      <c r="K36" s="8" t="str">
        <f t="shared" si="5"/>
        <v/>
      </c>
    </row>
    <row r="37" spans="1:11" x14ac:dyDescent="0.2">
      <c r="A37" s="5">
        <v>35</v>
      </c>
      <c r="B37" t="s">
        <v>162</v>
      </c>
      <c r="C37" s="9" t="str">
        <f>IFERROR(INDEX(Hazard_current_cycle!$E$3:$E$61, MATCH(B37, Hazard_current_cycle!$B$3:$B$61, 0)), "")</f>
        <v/>
      </c>
      <c r="D37" s="9">
        <f>IFERROR(INDEX(Exposure_LandUse!$E$3:$E$61, MATCH(B37, Exposure_LandUse!$B$3:$B$61, 0)), "")</f>
        <v>9.8398896944118588E-3</v>
      </c>
      <c r="E37" s="9">
        <f>IFERROR(INDEX(Exposure_Population!$E$3:$E$61, MATCH(B37, Exposure_Population!$B$3:$B$61, 0)), "")</f>
        <v>0.49210163094660375</v>
      </c>
      <c r="F37" s="9" t="str">
        <f>IFERROR(INDEX(Exposure_Cattle!$D$3:$D$61, MATCH(B37, Exposure_Cattle!$B$3:$B$61, 0)), "")</f>
        <v/>
      </c>
      <c r="G37" s="9" t="str">
        <f>IFERROR(INDEX(Exposure_WaterDemand!$D$3:$D$61, MATCH(B37, Exposure_WaterDemand!$B$3:$B$61, 0)), "")</f>
        <v/>
      </c>
      <c r="H37" s="10">
        <f t="shared" si="3"/>
        <v>0.2509707603205078</v>
      </c>
      <c r="I37" s="10">
        <f>IFERROR(INDEX(Vulnerability_IPC!$E$3:$E$61, MATCH(B37, Vulnerability_IPC!$B$3:$B$61, 0)), "")</f>
        <v>0.3</v>
      </c>
      <c r="J37" s="10" t="str">
        <f t="shared" si="4"/>
        <v/>
      </c>
      <c r="K37" s="8" t="str">
        <f t="shared" si="5"/>
        <v/>
      </c>
    </row>
    <row r="38" spans="1:11" x14ac:dyDescent="0.2">
      <c r="A38" s="5">
        <v>36</v>
      </c>
      <c r="B38" t="s">
        <v>163</v>
      </c>
      <c r="C38" s="9" t="str">
        <f>IFERROR(INDEX(Hazard_current_cycle!$E$3:$E$61, MATCH(B38, Hazard_current_cycle!$B$3:$B$61, 0)), "")</f>
        <v/>
      </c>
      <c r="D38" s="9">
        <f>IFERROR(INDEX(Exposure_LandUse!$E$3:$E$61, MATCH(B38, Exposure_LandUse!$B$3:$B$61, 0)), "")</f>
        <v>0.17682987491200006</v>
      </c>
      <c r="E38" s="9">
        <f>IFERROR(INDEX(Exposure_Population!$E$3:$E$61, MATCH(B38, Exposure_Population!$B$3:$B$61, 0)), "")</f>
        <v>0.2684030320033734</v>
      </c>
      <c r="F38" s="9" t="str">
        <f>IFERROR(INDEX(Exposure_Cattle!$D$3:$D$61, MATCH(B38, Exposure_Cattle!$B$3:$B$61, 0)), "")</f>
        <v/>
      </c>
      <c r="G38" s="9" t="str">
        <f>IFERROR(INDEX(Exposure_WaterDemand!$D$3:$D$61, MATCH(B38, Exposure_WaterDemand!$B$3:$B$61, 0)), "")</f>
        <v/>
      </c>
      <c r="H38" s="10">
        <f t="shared" si="3"/>
        <v>0.22261645345768671</v>
      </c>
      <c r="I38" s="10">
        <f>IFERROR(INDEX(Vulnerability_IPC!$E$3:$E$61, MATCH(B38, Vulnerability_IPC!$B$3:$B$61, 0)), "")</f>
        <v>0.3</v>
      </c>
      <c r="J38" s="10" t="str">
        <f t="shared" si="4"/>
        <v/>
      </c>
      <c r="K38" s="8" t="str">
        <f t="shared" si="5"/>
        <v/>
      </c>
    </row>
    <row r="39" spans="1:11" x14ac:dyDescent="0.2">
      <c r="A39" s="5">
        <v>37</v>
      </c>
      <c r="B39" t="s">
        <v>164</v>
      </c>
      <c r="C39" s="9" t="str">
        <f>IFERROR(INDEX(Hazard_current_cycle!$E$3:$E$61, MATCH(B39, Hazard_current_cycle!$B$3:$B$61, 0)), "")</f>
        <v/>
      </c>
      <c r="D39" s="9">
        <f>IFERROR(INDEX(Exposure_LandUse!$E$3:$E$61, MATCH(B39, Exposure_LandUse!$B$3:$B$61, 0)), "")</f>
        <v>0.10642741933107729</v>
      </c>
      <c r="E39" s="9">
        <f>IFERROR(INDEX(Exposure_Population!$E$3:$E$61, MATCH(B39, Exposure_Population!$B$3:$B$61, 0)), "")</f>
        <v>0.71003348037797043</v>
      </c>
      <c r="F39" s="9" t="str">
        <f>IFERROR(INDEX(Exposure_Cattle!$D$3:$D$61, MATCH(B39, Exposure_Cattle!$B$3:$B$61, 0)), "")</f>
        <v/>
      </c>
      <c r="G39" s="9" t="str">
        <f>IFERROR(INDEX(Exposure_WaterDemand!$D$3:$D$61, MATCH(B39, Exposure_WaterDemand!$B$3:$B$61, 0)), "")</f>
        <v/>
      </c>
      <c r="H39" s="10">
        <f t="shared" si="3"/>
        <v>0.40823044985452384</v>
      </c>
      <c r="I39" s="10">
        <f>IFERROR(INDEX(Vulnerability_IPC!$E$3:$E$61, MATCH(B39, Vulnerability_IPC!$B$3:$B$61, 0)), "")</f>
        <v>0.6</v>
      </c>
      <c r="J39" s="10" t="str">
        <f t="shared" si="4"/>
        <v/>
      </c>
      <c r="K39" s="8" t="str">
        <f t="shared" si="5"/>
        <v/>
      </c>
    </row>
    <row r="40" spans="1:11" x14ac:dyDescent="0.2">
      <c r="A40" s="5">
        <v>38</v>
      </c>
      <c r="B40" t="s">
        <v>165</v>
      </c>
      <c r="C40" s="9" t="str">
        <f>IFERROR(INDEX(Hazard_current_cycle!$E$3:$E$61, MATCH(B40, Hazard_current_cycle!$B$3:$B$61, 0)), "")</f>
        <v/>
      </c>
      <c r="D40" s="9">
        <f>IFERROR(INDEX(Exposure_LandUse!$E$3:$E$61, MATCH(B40, Exposure_LandUse!$B$3:$B$61, 0)), "")</f>
        <v>7.9320909988199892E-2</v>
      </c>
      <c r="E40" s="9">
        <f>IFERROR(INDEX(Exposure_Population!$E$3:$E$61, MATCH(B40, Exposure_Population!$B$3:$B$61, 0)), "")</f>
        <v>0.37770822508230251</v>
      </c>
      <c r="F40" s="9" t="str">
        <f>IFERROR(INDEX(Exposure_Cattle!$D$3:$D$61, MATCH(B40, Exposure_Cattle!$B$3:$B$61, 0)), "")</f>
        <v/>
      </c>
      <c r="G40" s="9" t="str">
        <f>IFERROR(INDEX(Exposure_WaterDemand!$D$3:$D$61, MATCH(B40, Exposure_WaterDemand!$B$3:$B$61, 0)), "")</f>
        <v/>
      </c>
      <c r="H40" s="10">
        <f t="shared" si="3"/>
        <v>0.22851456753525121</v>
      </c>
      <c r="I40" s="10">
        <f>IFERROR(INDEX(Vulnerability_IPC!$E$3:$E$61, MATCH(B40, Vulnerability_IPC!$B$3:$B$61, 0)), "")</f>
        <v>0.6</v>
      </c>
      <c r="J40" s="10" t="str">
        <f t="shared" si="4"/>
        <v/>
      </c>
      <c r="K40" s="8" t="str">
        <f t="shared" si="5"/>
        <v/>
      </c>
    </row>
    <row r="41" spans="1:11" x14ac:dyDescent="0.2">
      <c r="A41" s="5">
        <v>39</v>
      </c>
      <c r="B41" t="s">
        <v>166</v>
      </c>
      <c r="C41" s="9" t="str">
        <f>IFERROR(INDEX(Hazard_current_cycle!$E$3:$E$61, MATCH(B41, Hazard_current_cycle!$B$3:$B$61, 0)), "")</f>
        <v/>
      </c>
      <c r="D41" s="9">
        <f>IFERROR(INDEX(Exposure_LandUse!$E$3:$E$61, MATCH(B41, Exposure_LandUse!$B$3:$B$61, 0)), "")</f>
        <v>0.11483661186205628</v>
      </c>
      <c r="E41" s="9">
        <f>IFERROR(INDEX(Exposure_Population!$E$3:$E$61, MATCH(B41, Exposure_Population!$B$3:$B$61, 0)), "")</f>
        <v>0.3748092947690459</v>
      </c>
      <c r="F41" s="9" t="str">
        <f>IFERROR(INDEX(Exposure_Cattle!$D$3:$D$61, MATCH(B41, Exposure_Cattle!$B$3:$B$61, 0)), "")</f>
        <v/>
      </c>
      <c r="G41" s="9" t="str">
        <f>IFERROR(INDEX(Exposure_WaterDemand!$D$3:$D$61, MATCH(B41, Exposure_WaterDemand!$B$3:$B$61, 0)), "")</f>
        <v/>
      </c>
      <c r="H41" s="10">
        <f t="shared" si="3"/>
        <v>0.2448229533155511</v>
      </c>
      <c r="I41" s="10">
        <f>IFERROR(INDEX(Vulnerability_IPC!$E$3:$E$61, MATCH(B41, Vulnerability_IPC!$B$3:$B$61, 0)), "")</f>
        <v>0.3</v>
      </c>
      <c r="J41" s="10" t="str">
        <f t="shared" si="4"/>
        <v/>
      </c>
      <c r="K41" s="8" t="str">
        <f t="shared" si="5"/>
        <v/>
      </c>
    </row>
    <row r="42" spans="1:11" x14ac:dyDescent="0.2">
      <c r="A42" s="5">
        <v>40</v>
      </c>
      <c r="B42" t="s">
        <v>167</v>
      </c>
      <c r="C42" s="9" t="str">
        <f>IFERROR(INDEX(Hazard_current_cycle!$E$3:$E$61, MATCH(B42, Hazard_current_cycle!$B$3:$B$61, 0)), "")</f>
        <v/>
      </c>
      <c r="D42" s="9">
        <f>IFERROR(INDEX(Exposure_LandUse!$E$3:$E$61, MATCH(B42, Exposure_LandUse!$B$3:$B$61, 0)), "")</f>
        <v>7.672554537526001E-2</v>
      </c>
      <c r="E42" s="9">
        <f>IFERROR(INDEX(Exposure_Population!$E$3:$E$61, MATCH(B42, Exposure_Population!$B$3:$B$61, 0)), "")</f>
        <v>0.6179802553297763</v>
      </c>
      <c r="F42" s="9" t="str">
        <f>IFERROR(INDEX(Exposure_Cattle!$D$3:$D$61, MATCH(B42, Exposure_Cattle!$B$3:$B$61, 0)), "")</f>
        <v/>
      </c>
      <c r="G42" s="9" t="str">
        <f>IFERROR(INDEX(Exposure_WaterDemand!$D$3:$D$61, MATCH(B42, Exposure_WaterDemand!$B$3:$B$61, 0)), "")</f>
        <v/>
      </c>
      <c r="H42" s="10">
        <f t="shared" si="3"/>
        <v>0.34735290035251815</v>
      </c>
      <c r="I42" s="10">
        <f>IFERROR(INDEX(Vulnerability_IPC!$E$3:$E$61, MATCH(B42, Vulnerability_IPC!$B$3:$B$61, 0)), "")</f>
        <v>0.3</v>
      </c>
      <c r="J42" s="10" t="str">
        <f t="shared" si="4"/>
        <v/>
      </c>
      <c r="K42" s="8" t="str">
        <f t="shared" si="5"/>
        <v/>
      </c>
    </row>
    <row r="43" spans="1:11" x14ac:dyDescent="0.2">
      <c r="A43" s="5">
        <v>41</v>
      </c>
      <c r="B43" t="s">
        <v>168</v>
      </c>
      <c r="C43" s="9" t="str">
        <f>IFERROR(INDEX(Hazard_current_cycle!$E$3:$E$61, MATCH(B43, Hazard_current_cycle!$B$3:$B$61, 0)), "")</f>
        <v/>
      </c>
      <c r="D43" s="9">
        <f>IFERROR(INDEX(Exposure_LandUse!$E$3:$E$61, MATCH(B43, Exposure_LandUse!$B$3:$B$61, 0)), "")</f>
        <v>0.27377997725198039</v>
      </c>
      <c r="E43" s="9">
        <f>IFERROR(INDEX(Exposure_Population!$E$3:$E$61, MATCH(B43, Exposure_Population!$B$3:$B$61, 0)), "")</f>
        <v>0.54627447828756071</v>
      </c>
      <c r="F43" s="9" t="str">
        <f>IFERROR(INDEX(Exposure_Cattle!$D$3:$D$61, MATCH(B43, Exposure_Cattle!$B$3:$B$61, 0)), "")</f>
        <v/>
      </c>
      <c r="G43" s="9" t="str">
        <f>IFERROR(INDEX(Exposure_WaterDemand!$D$3:$D$61, MATCH(B43, Exposure_WaterDemand!$B$3:$B$61, 0)), "")</f>
        <v/>
      </c>
      <c r="H43" s="10">
        <f t="shared" si="3"/>
        <v>0.41002722776977052</v>
      </c>
      <c r="I43" s="10">
        <f>IFERROR(INDEX(Vulnerability_IPC!$E$3:$E$61, MATCH(B43, Vulnerability_IPC!$B$3:$B$61, 0)), "")</f>
        <v>0.6</v>
      </c>
      <c r="J43" s="10" t="str">
        <f t="shared" si="4"/>
        <v/>
      </c>
      <c r="K43" s="8" t="str">
        <f t="shared" si="5"/>
        <v/>
      </c>
    </row>
    <row r="44" spans="1:11" x14ac:dyDescent="0.2">
      <c r="A44" s="5">
        <v>42</v>
      </c>
      <c r="B44" t="s">
        <v>169</v>
      </c>
      <c r="C44" s="9" t="str">
        <f>IFERROR(INDEX(Hazard_current_cycle!$E$3:$E$61, MATCH(B44, Hazard_current_cycle!$B$3:$B$61, 0)), "")</f>
        <v/>
      </c>
      <c r="D44" s="9">
        <f>IFERROR(INDEX(Exposure_LandUse!$E$3:$E$61, MATCH(B44, Exposure_LandUse!$B$3:$B$61, 0)), "")</f>
        <v>0.12405977312345003</v>
      </c>
      <c r="E44" s="9">
        <f>IFERROR(INDEX(Exposure_Population!$E$3:$E$61, MATCH(B44, Exposure_Population!$B$3:$B$61, 0)), "")</f>
        <v>0.20421822822703492</v>
      </c>
      <c r="F44" s="9" t="str">
        <f>IFERROR(INDEX(Exposure_Cattle!$D$3:$D$61, MATCH(B44, Exposure_Cattle!$B$3:$B$61, 0)), "")</f>
        <v/>
      </c>
      <c r="G44" s="9" t="str">
        <f>IFERROR(INDEX(Exposure_WaterDemand!$D$3:$D$61, MATCH(B44, Exposure_WaterDemand!$B$3:$B$61, 0)), "")</f>
        <v/>
      </c>
      <c r="H44" s="10">
        <f t="shared" si="3"/>
        <v>0.16413900067524248</v>
      </c>
      <c r="I44" s="10">
        <f>IFERROR(INDEX(Vulnerability_IPC!$E$3:$E$61, MATCH(B44, Vulnerability_IPC!$B$3:$B$61, 0)), "")</f>
        <v>0.3</v>
      </c>
      <c r="J44" s="10" t="str">
        <f t="shared" si="4"/>
        <v/>
      </c>
      <c r="K44" s="8" t="str">
        <f t="shared" si="5"/>
        <v/>
      </c>
    </row>
    <row r="45" spans="1:11" x14ac:dyDescent="0.2">
      <c r="A45" s="5">
        <v>43</v>
      </c>
      <c r="B45" t="s">
        <v>170</v>
      </c>
      <c r="C45" s="9" t="str">
        <f>IFERROR(INDEX(Hazard_current_cycle!$E$3:$E$61, MATCH(B45, Hazard_current_cycle!$B$3:$B$61, 0)), "")</f>
        <v/>
      </c>
      <c r="D45" s="9">
        <f>IFERROR(INDEX(Exposure_LandUse!$E$3:$E$61, MATCH(B45, Exposure_LandUse!$B$3:$B$61, 0)), "")</f>
        <v>9.9847748048383547E-2</v>
      </c>
      <c r="E45" s="9">
        <f>IFERROR(INDEX(Exposure_Population!$E$3:$E$61, MATCH(B45, Exposure_Population!$B$3:$B$61, 0)), "")</f>
        <v>0.40044349457608569</v>
      </c>
      <c r="F45" s="9" t="str">
        <f>IFERROR(INDEX(Exposure_Cattle!$D$3:$D$61, MATCH(B45, Exposure_Cattle!$B$3:$B$61, 0)), "")</f>
        <v/>
      </c>
      <c r="G45" s="9" t="str">
        <f>IFERROR(INDEX(Exposure_WaterDemand!$D$3:$D$61, MATCH(B45, Exposure_WaterDemand!$B$3:$B$61, 0)), "")</f>
        <v/>
      </c>
      <c r="H45" s="10">
        <f t="shared" si="3"/>
        <v>0.25014562131223461</v>
      </c>
      <c r="I45" s="10">
        <f>IFERROR(INDEX(Vulnerability_IPC!$E$3:$E$61, MATCH(B45, Vulnerability_IPC!$B$3:$B$61, 0)), "")</f>
        <v>0.6</v>
      </c>
      <c r="J45" s="10" t="str">
        <f t="shared" si="4"/>
        <v/>
      </c>
      <c r="K45" s="8" t="str">
        <f t="shared" si="5"/>
        <v/>
      </c>
    </row>
    <row r="46" spans="1:11" x14ac:dyDescent="0.2">
      <c r="A46" s="5">
        <v>44</v>
      </c>
      <c r="B46" t="s">
        <v>171</v>
      </c>
      <c r="C46" s="9" t="str">
        <f>IFERROR(INDEX(Hazard_current_cycle!$E$3:$E$61, MATCH(B46, Hazard_current_cycle!$B$3:$B$61, 0)), "")</f>
        <v/>
      </c>
      <c r="D46" s="9">
        <f>IFERROR(INDEX(Exposure_LandUse!$E$3:$E$61, MATCH(B46, Exposure_LandUse!$B$3:$B$61, 0)), "")</f>
        <v>0.11428300398074509</v>
      </c>
      <c r="E46" s="9">
        <f>IFERROR(INDEX(Exposure_Population!$E$3:$E$61, MATCH(B46, Exposure_Population!$B$3:$B$61, 0)), "")</f>
        <v>0.33187231866705902</v>
      </c>
      <c r="F46" s="9" t="str">
        <f>IFERROR(INDEX(Exposure_Cattle!$D$3:$D$61, MATCH(B46, Exposure_Cattle!$B$3:$B$61, 0)), "")</f>
        <v/>
      </c>
      <c r="G46" s="9" t="str">
        <f>IFERROR(INDEX(Exposure_WaterDemand!$D$3:$D$61, MATCH(B46, Exposure_WaterDemand!$B$3:$B$61, 0)), "")</f>
        <v/>
      </c>
      <c r="H46" s="10">
        <f t="shared" si="3"/>
        <v>0.22307766132390205</v>
      </c>
      <c r="I46" s="10">
        <f>IFERROR(INDEX(Vulnerability_IPC!$E$3:$E$61, MATCH(B46, Vulnerability_IPC!$B$3:$B$61, 0)), "")</f>
        <v>0.3</v>
      </c>
      <c r="J46" s="10" t="str">
        <f t="shared" si="4"/>
        <v/>
      </c>
      <c r="K46" s="8" t="str">
        <f t="shared" si="5"/>
        <v/>
      </c>
    </row>
    <row r="47" spans="1:11" x14ac:dyDescent="0.2">
      <c r="A47" s="5">
        <v>45</v>
      </c>
      <c r="B47" t="s">
        <v>172</v>
      </c>
      <c r="C47" s="9" t="str">
        <f>IFERROR(INDEX(Hazard_current_cycle!$E$3:$E$61, MATCH(B47, Hazard_current_cycle!$B$3:$B$61, 0)), "")</f>
        <v/>
      </c>
      <c r="D47" s="9">
        <f>IFERROR(INDEX(Exposure_LandUse!$E$3:$E$61, MATCH(B47, Exposure_LandUse!$B$3:$B$61, 0)), "")</f>
        <v>0.15901246202065047</v>
      </c>
      <c r="E47" s="9">
        <f>IFERROR(INDEX(Exposure_Population!$E$3:$E$61, MATCH(B47, Exposure_Population!$B$3:$B$61, 0)), "")</f>
        <v>0.4490385905854189</v>
      </c>
      <c r="F47" s="9" t="str">
        <f>IFERROR(INDEX(Exposure_Cattle!$D$3:$D$61, MATCH(B47, Exposure_Cattle!$B$3:$B$61, 0)), "")</f>
        <v/>
      </c>
      <c r="G47" s="9" t="str">
        <f>IFERROR(INDEX(Exposure_WaterDemand!$D$3:$D$61, MATCH(B47, Exposure_WaterDemand!$B$3:$B$61, 0)), "")</f>
        <v/>
      </c>
      <c r="H47" s="10">
        <f t="shared" si="3"/>
        <v>0.3040255263030347</v>
      </c>
      <c r="I47" s="10">
        <f>IFERROR(INDEX(Vulnerability_IPC!$E$3:$E$61, MATCH(B47, Vulnerability_IPC!$B$3:$B$61, 0)), "")</f>
        <v>0.3</v>
      </c>
      <c r="J47" s="10" t="str">
        <f t="shared" si="4"/>
        <v/>
      </c>
      <c r="K47" s="8" t="str">
        <f t="shared" si="5"/>
        <v/>
      </c>
    </row>
    <row r="48" spans="1:11" x14ac:dyDescent="0.2">
      <c r="A48" s="5">
        <v>46</v>
      </c>
      <c r="B48" t="s">
        <v>173</v>
      </c>
      <c r="C48" s="9" t="str">
        <f>IFERROR(INDEX(Hazard_current_cycle!$E$3:$E$61, MATCH(B48, Hazard_current_cycle!$B$3:$B$61, 0)), "")</f>
        <v/>
      </c>
      <c r="D48" s="9">
        <f>IFERROR(INDEX(Exposure_LandUse!$E$3:$E$61, MATCH(B48, Exposure_LandUse!$B$3:$B$61, 0)), "")</f>
        <v>7.6505067871502297E-2</v>
      </c>
      <c r="E48" s="9">
        <f>IFERROR(INDEX(Exposure_Population!$E$3:$E$61, MATCH(B48, Exposure_Population!$B$3:$B$61, 0)), "")</f>
        <v>0.31235290758474682</v>
      </c>
      <c r="F48" s="9" t="str">
        <f>IFERROR(INDEX(Exposure_Cattle!$D$3:$D$61, MATCH(B48, Exposure_Cattle!$B$3:$B$61, 0)), "")</f>
        <v/>
      </c>
      <c r="G48" s="9" t="str">
        <f>IFERROR(INDEX(Exposure_WaterDemand!$D$3:$D$61, MATCH(B48, Exposure_WaterDemand!$B$3:$B$61, 0)), "")</f>
        <v/>
      </c>
      <c r="H48" s="10">
        <f t="shared" si="3"/>
        <v>0.19442898772812456</v>
      </c>
      <c r="I48" s="10">
        <f>IFERROR(INDEX(Vulnerability_IPC!$E$3:$E$61, MATCH(B48, Vulnerability_IPC!$B$3:$B$61, 0)), "")</f>
        <v>0.6</v>
      </c>
      <c r="J48" s="10" t="str">
        <f t="shared" si="4"/>
        <v/>
      </c>
      <c r="K48" s="8" t="str">
        <f t="shared" si="5"/>
        <v/>
      </c>
    </row>
    <row r="49" spans="1:11" x14ac:dyDescent="0.2">
      <c r="A49" s="5">
        <v>47</v>
      </c>
      <c r="B49" t="s">
        <v>174</v>
      </c>
      <c r="C49" s="9" t="str">
        <f>IFERROR(INDEX(Hazard_current_cycle!$E$3:$E$61, MATCH(B49, Hazard_current_cycle!$B$3:$B$61, 0)), "")</f>
        <v/>
      </c>
      <c r="D49" s="9">
        <f>IFERROR(INDEX(Exposure_LandUse!$E$3:$E$61, MATCH(B49, Exposure_LandUse!$B$3:$B$61, 0)), "")</f>
        <v>2.4821638296615104E-2</v>
      </c>
      <c r="E49" s="9">
        <f>IFERROR(INDEX(Exposure_Population!$E$3:$E$61, MATCH(B49, Exposure_Population!$B$3:$B$61, 0)), "")</f>
        <v>0.35823176058244427</v>
      </c>
      <c r="F49" s="9" t="str">
        <f>IFERROR(INDEX(Exposure_Cattle!$D$3:$D$61, MATCH(B49, Exposure_Cattle!$B$3:$B$61, 0)), "")</f>
        <v/>
      </c>
      <c r="G49" s="9" t="str">
        <f>IFERROR(INDEX(Exposure_WaterDemand!$D$3:$D$61, MATCH(B49, Exposure_WaterDemand!$B$3:$B$61, 0)), "")</f>
        <v/>
      </c>
      <c r="H49" s="10">
        <f t="shared" si="3"/>
        <v>0.19152669943952969</v>
      </c>
      <c r="I49" s="10">
        <f>IFERROR(INDEX(Vulnerability_IPC!$E$3:$E$61, MATCH(B49, Vulnerability_IPC!$B$3:$B$61, 0)), "")</f>
        <v>0.3</v>
      </c>
      <c r="J49" s="10" t="str">
        <f t="shared" si="4"/>
        <v/>
      </c>
      <c r="K49" s="8" t="str">
        <f t="shared" si="5"/>
        <v/>
      </c>
    </row>
    <row r="50" spans="1:11" x14ac:dyDescent="0.2">
      <c r="A50" s="5">
        <v>48</v>
      </c>
      <c r="B50" t="s">
        <v>175</v>
      </c>
      <c r="C50" s="9" t="str">
        <f>IFERROR(INDEX(Hazard_current_cycle!$E$3:$E$61, MATCH(B50, Hazard_current_cycle!$B$3:$B$61, 0)), "")</f>
        <v/>
      </c>
      <c r="D50" s="9">
        <f>IFERROR(INDEX(Exposure_LandUse!$E$3:$E$61, MATCH(B50, Exposure_LandUse!$B$3:$B$61, 0)), "")</f>
        <v>0.10404738571342466</v>
      </c>
      <c r="E50" s="9">
        <f>IFERROR(INDEX(Exposure_Population!$E$3:$E$61, MATCH(B50, Exposure_Population!$B$3:$B$61, 0)), "")</f>
        <v>9.8760129848808942E-2</v>
      </c>
      <c r="F50" s="9" t="str">
        <f>IFERROR(INDEX(Exposure_Cattle!$D$3:$D$61, MATCH(B50, Exposure_Cattle!$B$3:$B$61, 0)), "")</f>
        <v/>
      </c>
      <c r="G50" s="9" t="str">
        <f>IFERROR(INDEX(Exposure_WaterDemand!$D$3:$D$61, MATCH(B50, Exposure_WaterDemand!$B$3:$B$61, 0)), "")</f>
        <v/>
      </c>
      <c r="H50" s="10">
        <f t="shared" si="3"/>
        <v>0.10140375778111679</v>
      </c>
      <c r="I50" s="10">
        <f>IFERROR(INDEX(Vulnerability_IPC!$E$3:$E$61, MATCH(B50, Vulnerability_IPC!$B$3:$B$61, 0)), "")</f>
        <v>0.3</v>
      </c>
      <c r="J50" s="10" t="str">
        <f t="shared" si="4"/>
        <v/>
      </c>
      <c r="K50" s="8" t="str">
        <f t="shared" si="5"/>
        <v/>
      </c>
    </row>
    <row r="51" spans="1:11" x14ac:dyDescent="0.2">
      <c r="A51" s="5">
        <v>49</v>
      </c>
      <c r="B51" t="s">
        <v>176</v>
      </c>
      <c r="C51" s="9" t="str">
        <f>IFERROR(INDEX(Hazard_current_cycle!$E$3:$E$61, MATCH(B51, Hazard_current_cycle!$B$3:$B$61, 0)), "")</f>
        <v/>
      </c>
      <c r="D51" s="9">
        <f>IFERROR(INDEX(Exposure_LandUse!$E$3:$E$61, MATCH(B51, Exposure_LandUse!$B$3:$B$61, 0)), "")</f>
        <v>0.1888050769654904</v>
      </c>
      <c r="E51" s="9">
        <f>IFERROR(INDEX(Exposure_Population!$E$3:$E$61, MATCH(B51, Exposure_Population!$B$3:$B$61, 0)), "")</f>
        <v>0.83386756014236207</v>
      </c>
      <c r="F51" s="9" t="str">
        <f>IFERROR(INDEX(Exposure_Cattle!$D$3:$D$61, MATCH(B51, Exposure_Cattle!$B$3:$B$61, 0)), "")</f>
        <v/>
      </c>
      <c r="G51" s="9" t="str">
        <f>IFERROR(INDEX(Exposure_WaterDemand!$D$3:$D$61, MATCH(B51, Exposure_WaterDemand!$B$3:$B$61, 0)), "")</f>
        <v/>
      </c>
      <c r="H51" s="10">
        <f t="shared" si="3"/>
        <v>0.51133631855392625</v>
      </c>
      <c r="I51" s="10">
        <f>IFERROR(INDEX(Vulnerability_IPC!$E$3:$E$61, MATCH(B51, Vulnerability_IPC!$B$3:$B$61, 0)), "")</f>
        <v>0.3</v>
      </c>
      <c r="J51" s="10" t="str">
        <f t="shared" si="4"/>
        <v/>
      </c>
      <c r="K51" s="8" t="str">
        <f t="shared" si="5"/>
        <v/>
      </c>
    </row>
    <row r="52" spans="1:11" x14ac:dyDescent="0.2">
      <c r="A52" s="5">
        <v>50</v>
      </c>
      <c r="B52" t="s">
        <v>177</v>
      </c>
      <c r="C52" s="9" t="str">
        <f>IFERROR(INDEX(Hazard_current_cycle!$E$3:$E$61, MATCH(B52, Hazard_current_cycle!$B$3:$B$61, 0)), "")</f>
        <v/>
      </c>
      <c r="D52" s="9">
        <f>IFERROR(INDEX(Exposure_LandUse!$E$3:$E$61, MATCH(B52, Exposure_LandUse!$B$3:$B$61, 0)), "")</f>
        <v>0.12104104573368434</v>
      </c>
      <c r="E52" s="9">
        <f>IFERROR(INDEX(Exposure_Population!$E$3:$E$61, MATCH(B52, Exposure_Population!$B$3:$B$61, 0)), "")</f>
        <v>0.17793427859806274</v>
      </c>
      <c r="F52" s="9" t="str">
        <f>IFERROR(INDEX(Exposure_Cattle!$D$3:$D$61, MATCH(B52, Exposure_Cattle!$B$3:$B$61, 0)), "")</f>
        <v/>
      </c>
      <c r="G52" s="9" t="str">
        <f>IFERROR(INDEX(Exposure_WaterDemand!$D$3:$D$61, MATCH(B52, Exposure_WaterDemand!$B$3:$B$61, 0)), "")</f>
        <v/>
      </c>
      <c r="H52" s="10">
        <f t="shared" si="3"/>
        <v>0.14948766216587353</v>
      </c>
      <c r="I52" s="10">
        <f>IFERROR(INDEX(Vulnerability_IPC!$E$3:$E$61, MATCH(B52, Vulnerability_IPC!$B$3:$B$61, 0)), "")</f>
        <v>0.6</v>
      </c>
      <c r="J52" s="10" t="str">
        <f t="shared" si="4"/>
        <v/>
      </c>
      <c r="K52" s="8" t="str">
        <f t="shared" si="5"/>
        <v/>
      </c>
    </row>
    <row r="53" spans="1:11" x14ac:dyDescent="0.2">
      <c r="A53" s="5">
        <v>51</v>
      </c>
      <c r="B53" t="s">
        <v>178</v>
      </c>
      <c r="C53" s="9" t="str">
        <f>IFERROR(INDEX(Hazard_current_cycle!$E$3:$E$61, MATCH(B53, Hazard_current_cycle!$B$3:$B$61, 0)), "")</f>
        <v/>
      </c>
      <c r="D53" s="9">
        <f>IFERROR(INDEX(Exposure_LandUse!$E$3:$E$61, MATCH(B53, Exposure_LandUse!$B$3:$B$61, 0)), "")</f>
        <v>0.18498571168829589</v>
      </c>
      <c r="E53" s="9">
        <f>IFERROR(INDEX(Exposure_Population!$E$3:$E$61, MATCH(B53, Exposure_Population!$B$3:$B$61, 0)), "")</f>
        <v>0.16508970411375953</v>
      </c>
      <c r="F53" s="9" t="str">
        <f>IFERROR(INDEX(Exposure_Cattle!$D$3:$D$61, MATCH(B53, Exposure_Cattle!$B$3:$B$61, 0)), "")</f>
        <v/>
      </c>
      <c r="G53" s="9" t="str">
        <f>IFERROR(INDEX(Exposure_WaterDemand!$D$3:$D$61, MATCH(B53, Exposure_WaterDemand!$B$3:$B$61, 0)), "")</f>
        <v/>
      </c>
      <c r="H53" s="10">
        <f t="shared" si="3"/>
        <v>0.17503770790102771</v>
      </c>
      <c r="I53" s="10">
        <f>IFERROR(INDEX(Vulnerability_IPC!$E$3:$E$61, MATCH(B53, Vulnerability_IPC!$B$3:$B$61, 0)), "")</f>
        <v>0.6</v>
      </c>
      <c r="J53" s="10" t="str">
        <f t="shared" si="4"/>
        <v/>
      </c>
      <c r="K53" s="8" t="str">
        <f t="shared" si="5"/>
        <v/>
      </c>
    </row>
    <row r="54" spans="1:11" x14ac:dyDescent="0.2">
      <c r="A54" s="5">
        <v>52</v>
      </c>
      <c r="B54" t="s">
        <v>179</v>
      </c>
      <c r="C54" s="9" t="str">
        <f>IFERROR(INDEX(Hazard_current_cycle!$E$3:$E$61, MATCH(B54, Hazard_current_cycle!$B$3:$B$61, 0)), "")</f>
        <v/>
      </c>
      <c r="D54" s="9">
        <f>IFERROR(INDEX(Exposure_LandUse!$E$3:$E$61, MATCH(B54, Exposure_LandUse!$B$3:$B$61, 0)), "")</f>
        <v>1.0534538324089205E-2</v>
      </c>
      <c r="E54" s="9">
        <f>IFERROR(INDEX(Exposure_Population!$E$3:$E$61, MATCH(B54, Exposure_Population!$B$3:$B$61, 0)), "")</f>
        <v>0.23774499776843683</v>
      </c>
      <c r="F54" s="9" t="str">
        <f>IFERROR(INDEX(Exposure_Cattle!$D$3:$D$61, MATCH(B54, Exposure_Cattle!$B$3:$B$61, 0)), "")</f>
        <v/>
      </c>
      <c r="G54" s="9" t="str">
        <f>IFERROR(INDEX(Exposure_WaterDemand!$D$3:$D$61, MATCH(B54, Exposure_WaterDemand!$B$3:$B$61, 0)), "")</f>
        <v/>
      </c>
      <c r="H54" s="10">
        <f t="shared" si="3"/>
        <v>0.12413976804626302</v>
      </c>
      <c r="I54" s="10">
        <f>IFERROR(INDEX(Vulnerability_IPC!$E$3:$E$61, MATCH(B54, Vulnerability_IPC!$B$3:$B$61, 0)), "")</f>
        <v>0.3</v>
      </c>
      <c r="J54" s="10" t="str">
        <f t="shared" si="4"/>
        <v/>
      </c>
      <c r="K54" s="8" t="str">
        <f t="shared" si="5"/>
        <v/>
      </c>
    </row>
    <row r="55" spans="1:11" x14ac:dyDescent="0.2">
      <c r="A55" s="5">
        <v>53</v>
      </c>
      <c r="B55" t="s">
        <v>180</v>
      </c>
      <c r="C55" s="9" t="str">
        <f>IFERROR(INDEX(Hazard_current_cycle!$E$3:$E$61, MATCH(B55, Hazard_current_cycle!$B$3:$B$61, 0)), "")</f>
        <v/>
      </c>
      <c r="D55" s="9">
        <f>IFERROR(INDEX(Exposure_LandUse!$E$3:$E$61, MATCH(B55, Exposure_LandUse!$B$3:$B$61, 0)), "")</f>
        <v>2.8786434450083137E-2</v>
      </c>
      <c r="E55" s="9">
        <f>IFERROR(INDEX(Exposure_Population!$E$3:$E$61, MATCH(B55, Exposure_Population!$B$3:$B$61, 0)), "")</f>
        <v>3.8388255275119305E-2</v>
      </c>
      <c r="F55" s="9" t="str">
        <f>IFERROR(INDEX(Exposure_Cattle!$D$3:$D$61, MATCH(B55, Exposure_Cattle!$B$3:$B$61, 0)), "")</f>
        <v/>
      </c>
      <c r="G55" s="9" t="str">
        <f>IFERROR(INDEX(Exposure_WaterDemand!$D$3:$D$61, MATCH(B55, Exposure_WaterDemand!$B$3:$B$61, 0)), "")</f>
        <v/>
      </c>
      <c r="H55" s="10">
        <f t="shared" si="3"/>
        <v>3.3587344862601218E-2</v>
      </c>
      <c r="I55" s="10">
        <f>IFERROR(INDEX(Vulnerability_IPC!$E$3:$E$61, MATCH(B55, Vulnerability_IPC!$B$3:$B$61, 0)), "")</f>
        <v>0.3</v>
      </c>
      <c r="J55" s="10" t="str">
        <f t="shared" si="4"/>
        <v/>
      </c>
      <c r="K55" s="8" t="str">
        <f t="shared" si="5"/>
        <v/>
      </c>
    </row>
    <row r="56" spans="1:11" x14ac:dyDescent="0.2">
      <c r="A56" s="5">
        <v>54</v>
      </c>
      <c r="B56" t="s">
        <v>181</v>
      </c>
      <c r="C56" s="9" t="str">
        <f>IFERROR(INDEX(Hazard_current_cycle!$E$3:$E$61, MATCH(B56, Hazard_current_cycle!$B$3:$B$61, 0)), "")</f>
        <v/>
      </c>
      <c r="D56" s="9">
        <f>IFERROR(INDEX(Exposure_LandUse!$E$3:$E$61, MATCH(B56, Exposure_LandUse!$B$3:$B$61, 0)), "")</f>
        <v>5.8976113712959868E-2</v>
      </c>
      <c r="E56" s="9">
        <f>IFERROR(INDEX(Exposure_Population!$E$3:$E$61, MATCH(B56, Exposure_Population!$B$3:$B$61, 0)), "")</f>
        <v>8.4532725442581599E-2</v>
      </c>
      <c r="F56" s="9" t="str">
        <f>IFERROR(INDEX(Exposure_Cattle!$D$3:$D$61, MATCH(B56, Exposure_Cattle!$B$3:$B$61, 0)), "")</f>
        <v/>
      </c>
      <c r="G56" s="9" t="str">
        <f>IFERROR(INDEX(Exposure_WaterDemand!$D$3:$D$61, MATCH(B56, Exposure_WaterDemand!$B$3:$B$61, 0)), "")</f>
        <v/>
      </c>
      <c r="H56" s="10">
        <f t="shared" si="3"/>
        <v>7.1754419577770734E-2</v>
      </c>
      <c r="I56" s="10">
        <f>IFERROR(INDEX(Vulnerability_IPC!$E$3:$E$61, MATCH(B56, Vulnerability_IPC!$B$3:$B$61, 0)), "")</f>
        <v>0.3</v>
      </c>
      <c r="J56" s="10" t="str">
        <f t="shared" si="4"/>
        <v/>
      </c>
      <c r="K56" s="8" t="str">
        <f t="shared" si="5"/>
        <v/>
      </c>
    </row>
    <row r="57" spans="1:11" x14ac:dyDescent="0.2">
      <c r="A57" s="5">
        <v>55</v>
      </c>
      <c r="B57" t="s">
        <v>182</v>
      </c>
      <c r="C57" s="9" t="str">
        <f>IFERROR(INDEX(Hazard_current_cycle!$E$3:$E$61, MATCH(B57, Hazard_current_cycle!$B$3:$B$61, 0)), "")</f>
        <v/>
      </c>
      <c r="D57" s="9">
        <f>IFERROR(INDEX(Exposure_LandUse!$E$3:$E$61, MATCH(B57, Exposure_LandUse!$B$3:$B$61, 0)), "")</f>
        <v>1.4280952075796601E-2</v>
      </c>
      <c r="E57" s="9">
        <f>IFERROR(INDEX(Exposure_Population!$E$3:$E$61, MATCH(B57, Exposure_Population!$B$3:$B$61, 0)), "")</f>
        <v>8.9115259876059338E-2</v>
      </c>
      <c r="F57" s="9" t="str">
        <f>IFERROR(INDEX(Exposure_Cattle!$D$3:$D$61, MATCH(B57, Exposure_Cattle!$B$3:$B$61, 0)), "")</f>
        <v/>
      </c>
      <c r="G57" s="9" t="str">
        <f>IFERROR(INDEX(Exposure_WaterDemand!$D$3:$D$61, MATCH(B57, Exposure_WaterDemand!$B$3:$B$61, 0)), "")</f>
        <v/>
      </c>
      <c r="H57" s="10">
        <f t="shared" si="3"/>
        <v>5.1698105975927972E-2</v>
      </c>
      <c r="I57" s="10">
        <f>IFERROR(INDEX(Vulnerability_IPC!$E$3:$E$61, MATCH(B57, Vulnerability_IPC!$B$3:$B$61, 0)), "")</f>
        <v>0.3</v>
      </c>
      <c r="J57" s="10" t="str">
        <f t="shared" si="4"/>
        <v/>
      </c>
      <c r="K57" s="8" t="str">
        <f t="shared" si="5"/>
        <v/>
      </c>
    </row>
    <row r="58" spans="1:11" x14ac:dyDescent="0.2">
      <c r="A58" s="5">
        <v>56</v>
      </c>
      <c r="B58" t="s">
        <v>183</v>
      </c>
      <c r="C58" s="9" t="str">
        <f>IFERROR(INDEX(Hazard_current_cycle!$E$3:$E$61, MATCH(B58, Hazard_current_cycle!$B$3:$B$61, 0)), "")</f>
        <v/>
      </c>
      <c r="D58" s="9">
        <f>IFERROR(INDEX(Exposure_LandUse!$E$3:$E$61, MATCH(B58, Exposure_LandUse!$B$3:$B$61, 0)), "")</f>
        <v>9.5292836443961346E-2</v>
      </c>
      <c r="E58" s="9">
        <f>IFERROR(INDEX(Exposure_Population!$E$3:$E$61, MATCH(B58, Exposure_Population!$B$3:$B$61, 0)), "")</f>
        <v>0.15905964004570136</v>
      </c>
      <c r="F58" s="9" t="str">
        <f>IFERROR(INDEX(Exposure_Cattle!$D$3:$D$61, MATCH(B58, Exposure_Cattle!$B$3:$B$61, 0)), "")</f>
        <v/>
      </c>
      <c r="G58" s="9" t="str">
        <f>IFERROR(INDEX(Exposure_WaterDemand!$D$3:$D$61, MATCH(B58, Exposure_WaterDemand!$B$3:$B$61, 0)), "")</f>
        <v/>
      </c>
      <c r="H58" s="10">
        <f t="shared" si="3"/>
        <v>0.12717623824483135</v>
      </c>
      <c r="I58" s="10">
        <f>IFERROR(INDEX(Vulnerability_IPC!$E$3:$E$61, MATCH(B58, Vulnerability_IPC!$B$3:$B$61, 0)), "")</f>
        <v>0.3</v>
      </c>
      <c r="J58" s="10" t="str">
        <f t="shared" si="4"/>
        <v/>
      </c>
      <c r="K58" s="8" t="str">
        <f t="shared" si="5"/>
        <v/>
      </c>
    </row>
    <row r="59" spans="1:11" x14ac:dyDescent="0.2">
      <c r="A59" s="5">
        <v>57</v>
      </c>
      <c r="B59" t="s">
        <v>184</v>
      </c>
      <c r="C59" s="9" t="str">
        <f>IFERROR(INDEX(Hazard_current_cycle!$E$3:$E$61, MATCH(B59, Hazard_current_cycle!$B$3:$B$61, 0)), "")</f>
        <v/>
      </c>
      <c r="D59" s="9">
        <f>IFERROR(INDEX(Exposure_LandUse!$E$3:$E$61, MATCH(B59, Exposure_LandUse!$B$3:$B$61, 0)), "")</f>
        <v>0.14830287021045724</v>
      </c>
      <c r="E59" s="9">
        <f>IFERROR(INDEX(Exposure_Population!$E$3:$E$61, MATCH(B59, Exposure_Population!$B$3:$B$61, 0)), "")</f>
        <v>0.76504536378300381</v>
      </c>
      <c r="F59" s="9" t="str">
        <f>IFERROR(INDEX(Exposure_Cattle!$D$3:$D$61, MATCH(B59, Exposure_Cattle!$B$3:$B$61, 0)), "")</f>
        <v/>
      </c>
      <c r="G59" s="9" t="str">
        <f>IFERROR(INDEX(Exposure_WaterDemand!$D$3:$D$61, MATCH(B59, Exposure_WaterDemand!$B$3:$B$61, 0)), "")</f>
        <v/>
      </c>
      <c r="H59" s="10">
        <f t="shared" si="3"/>
        <v>0.45667411699673055</v>
      </c>
      <c r="I59" s="10">
        <f>IFERROR(INDEX(Vulnerability_IPC!$E$3:$E$61, MATCH(B59, Vulnerability_IPC!$B$3:$B$61, 0)), "")</f>
        <v>0.3</v>
      </c>
      <c r="J59" s="10" t="str">
        <f t="shared" si="4"/>
        <v/>
      </c>
      <c r="K59" s="8" t="str">
        <f t="shared" si="5"/>
        <v/>
      </c>
    </row>
    <row r="60" spans="1:11" x14ac:dyDescent="0.2">
      <c r="A60" s="5">
        <v>58</v>
      </c>
      <c r="B60" t="s">
        <v>185</v>
      </c>
      <c r="C60" s="9" t="str">
        <f>IFERROR(INDEX(Hazard_current_cycle!$E$3:$E$61, MATCH(B60, Hazard_current_cycle!$B$3:$B$61, 0)), "")</f>
        <v/>
      </c>
      <c r="D60" s="9">
        <f>IFERROR(INDEX(Exposure_LandUse!$E$3:$E$61, MATCH(B60, Exposure_LandUse!$B$3:$B$61, 0)), "")</f>
        <v>0.10991591408821659</v>
      </c>
      <c r="E60" s="9">
        <f>IFERROR(INDEX(Exposure_Population!$E$3:$E$61, MATCH(B60, Exposure_Population!$B$3:$B$61, 0)), "")</f>
        <v>0.17966158033989155</v>
      </c>
      <c r="F60" s="9" t="str">
        <f>IFERROR(INDEX(Exposure_Cattle!$D$3:$D$61, MATCH(B60, Exposure_Cattle!$B$3:$B$61, 0)), "")</f>
        <v/>
      </c>
      <c r="G60" s="9" t="str">
        <f>IFERROR(INDEX(Exposure_WaterDemand!$D$3:$D$61, MATCH(B60, Exposure_WaterDemand!$B$3:$B$61, 0)), "")</f>
        <v/>
      </c>
      <c r="H60" s="10">
        <f t="shared" si="3"/>
        <v>0.14478874721405408</v>
      </c>
      <c r="I60" s="10">
        <f>IFERROR(INDEX(Vulnerability_IPC!$E$3:$E$61, MATCH(B60, Vulnerability_IPC!$B$3:$B$61, 0)), "")</f>
        <v>0.6</v>
      </c>
      <c r="J60" s="10" t="str">
        <f t="shared" si="4"/>
        <v/>
      </c>
      <c r="K60" s="8" t="str">
        <f t="shared" si="5"/>
        <v/>
      </c>
    </row>
    <row r="61" spans="1:11" x14ac:dyDescent="0.2">
      <c r="A61" s="5">
        <v>59</v>
      </c>
      <c r="B61" t="s">
        <v>186</v>
      </c>
      <c r="C61" s="9" t="str">
        <f>IFERROR(INDEX(Hazard_current_cycle!$E$3:$E$61, MATCH(B61, Hazard_current_cycle!$B$3:$B$61, 0)), "")</f>
        <v/>
      </c>
      <c r="D61" s="9">
        <f>IFERROR(INDEX(Exposure_LandUse!$E$3:$E$61, MATCH(B61, Exposure_LandUse!$B$3:$B$61, 0)), "")</f>
        <v>0.16579242172473657</v>
      </c>
      <c r="E61" s="9">
        <f>IFERROR(INDEX(Exposure_Population!$E$3:$E$61, MATCH(B61, Exposure_Population!$B$3:$B$61, 0)), "")</f>
        <v>0.21351050759554852</v>
      </c>
      <c r="F61" s="9" t="str">
        <f>IFERROR(INDEX(Exposure_Cattle!$D$3:$D$61, MATCH(B61, Exposure_Cattle!$B$3:$B$61, 0)), "")</f>
        <v/>
      </c>
      <c r="G61" s="9" t="str">
        <f>IFERROR(INDEX(Exposure_WaterDemand!$D$3:$D$61, MATCH(B61, Exposure_WaterDemand!$B$3:$B$61, 0)), "")</f>
        <v/>
      </c>
      <c r="H61" s="10">
        <f t="shared" si="3"/>
        <v>0.18965146466014254</v>
      </c>
      <c r="I61" s="10">
        <f>IFERROR(INDEX(Vulnerability_IPC!$E$3:$E$61, MATCH(B61, Vulnerability_IPC!$B$3:$B$61, 0)), "")</f>
        <v>0.3</v>
      </c>
      <c r="J61" s="10" t="str">
        <f t="shared" si="4"/>
        <v/>
      </c>
      <c r="K61" s="8" t="str">
        <f t="shared" si="5"/>
        <v/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Methodology</vt:lpstr>
      <vt:lpstr>Inkhundla_master</vt:lpstr>
      <vt:lpstr>Exposure_LandUse</vt:lpstr>
      <vt:lpstr>Exposure_Population</vt:lpstr>
      <vt:lpstr>Exposure_Cattle</vt:lpstr>
      <vt:lpstr>Exposure_WaterDemand</vt:lpstr>
      <vt:lpstr>Vulnerability_IPC</vt:lpstr>
      <vt:lpstr>Hazard_current_cycle</vt:lpstr>
      <vt:lpstr>Risk_expected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 Lotte Savelberg</cp:lastModifiedBy>
  <cp:revision>0</cp:revision>
  <dcterms:created xsi:type="dcterms:W3CDTF">2026-07-22T13:11:17Z</dcterms:created>
  <dcterms:modified xsi:type="dcterms:W3CDTF">2026-07-24T09:13:24Z</dcterms:modified>
  <dc:language>en-US</dc:language>
</cp:coreProperties>
</file>